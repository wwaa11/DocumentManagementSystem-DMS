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650017\Downloads\"/>
    </mc:Choice>
  </mc:AlternateContent>
  <xr:revisionPtr revIDLastSave="0" documentId="13_ncr:1_{82081DBB-62E4-4ADF-9BA0-C8842B49676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IS_Log" sheetId="1" r:id="rId1"/>
    <sheet name="Lists" sheetId="2" state="hidden" r:id="rId2"/>
    <sheet name="Dashboard" sheetId="3" r:id="rId3"/>
  </sheets>
  <definedNames>
    <definedName name="_xlnm._FilterDatabase" localSheetId="0" hidden="1">HIS_Log!$A$1:$K$523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3" l="1"/>
  <c r="B27" i="3"/>
  <c r="N19" i="3"/>
  <c r="Q19" i="3"/>
  <c r="B26" i="3"/>
  <c r="B25" i="3"/>
  <c r="B24" i="3"/>
  <c r="B23" i="3"/>
  <c r="B22" i="3"/>
  <c r="B21" i="3"/>
  <c r="B20" i="3"/>
  <c r="B19" i="3"/>
  <c r="Q18" i="3"/>
  <c r="N18" i="3"/>
  <c r="B18" i="3"/>
  <c r="Q17" i="3"/>
  <c r="N17" i="3"/>
  <c r="B17" i="3"/>
  <c r="Q16" i="3"/>
  <c r="N16" i="3"/>
  <c r="B16" i="3"/>
  <c r="Q15" i="3"/>
  <c r="N15" i="3"/>
  <c r="B15" i="3"/>
  <c r="Q14" i="3"/>
  <c r="N14" i="3"/>
  <c r="B14" i="3"/>
  <c r="Q13" i="3"/>
  <c r="N13" i="3"/>
  <c r="B13" i="3"/>
  <c r="Q12" i="3"/>
  <c r="N12" i="3"/>
  <c r="B12" i="3"/>
  <c r="Q11" i="3"/>
  <c r="N11" i="3"/>
  <c r="B11" i="3"/>
  <c r="Q10" i="3"/>
  <c r="N10" i="3"/>
  <c r="B10" i="3"/>
  <c r="Q9" i="3"/>
  <c r="N9" i="3"/>
  <c r="B9" i="3"/>
  <c r="Q8" i="3"/>
  <c r="N8" i="3"/>
  <c r="K8" i="3"/>
  <c r="H8" i="3"/>
  <c r="B8" i="3"/>
  <c r="Q7" i="3"/>
  <c r="N7" i="3"/>
  <c r="K7" i="3"/>
  <c r="H7" i="3"/>
  <c r="B7" i="3"/>
  <c r="Q6" i="3"/>
  <c r="N6" i="3"/>
  <c r="K6" i="3"/>
  <c r="H6" i="3"/>
  <c r="B6" i="3"/>
  <c r="D6" i="3" l="1"/>
  <c r="E6" i="3" s="1"/>
  <c r="B3" i="3"/>
  <c r="D7" i="3" l="1"/>
  <c r="D8" i="3" l="1"/>
  <c r="E7" i="3"/>
  <c r="E8" i="3" l="1"/>
  <c r="D9" i="3"/>
  <c r="E9" i="3" l="1"/>
  <c r="D10" i="3"/>
  <c r="E10" i="3" l="1"/>
  <c r="D11" i="3"/>
  <c r="E11" i="3" l="1"/>
  <c r="D12" i="3"/>
  <c r="E12" i="3" l="1"/>
  <c r="D13" i="3"/>
  <c r="D14" i="3" s="1"/>
  <c r="D15" i="3" l="1"/>
  <c r="E13" i="3"/>
  <c r="E14" i="3"/>
  <c r="E15" i="3" l="1"/>
  <c r="D16" i="3"/>
  <c r="D17" i="3" l="1"/>
  <c r="E16" i="3"/>
  <c r="D18" i="3" l="1"/>
  <c r="D19" i="3" s="1"/>
  <c r="E17" i="3"/>
  <c r="E18" i="3" l="1"/>
  <c r="D20" i="3"/>
  <c r="E19" i="3"/>
  <c r="E20" i="3" l="1"/>
  <c r="D21" i="3"/>
  <c r="D22" i="3" l="1"/>
  <c r="E21" i="3"/>
  <c r="E22" i="3" l="1"/>
  <c r="D23" i="3"/>
  <c r="D24" i="3" l="1"/>
  <c r="E23" i="3"/>
  <c r="D25" i="3" l="1"/>
  <c r="D27" i="3" s="1"/>
  <c r="E27" i="3" s="1"/>
  <c r="E24" i="3"/>
  <c r="D28" i="3" l="1"/>
  <c r="E25" i="3"/>
  <c r="D29" i="3" l="1"/>
  <c r="E28" i="3"/>
  <c r="D30" i="3" l="1"/>
  <c r="E30" i="3" s="1"/>
  <c r="E29" i="3"/>
</calcChain>
</file>

<file path=xl/sharedStrings.xml><?xml version="1.0" encoding="utf-8"?>
<sst xmlns="http://schemas.openxmlformats.org/spreadsheetml/2006/main" count="95" uniqueCount="59">
  <si>
    <t>No.</t>
  </si>
  <si>
    <t>วันที่แจ้ง</t>
  </si>
  <si>
    <t>ผู้แจ้ง/แผนก</t>
  </si>
  <si>
    <t>Module</t>
  </si>
  <si>
    <t>รายละเอียดปัญหา</t>
  </si>
  <si>
    <t>ผู้รับเรื่อง</t>
  </si>
  <si>
    <t>ผู้แก้ไข</t>
  </si>
  <si>
    <t>วิธีแก้ไข/Root Cause</t>
  </si>
  <si>
    <t>สถานะ</t>
  </si>
  <si>
    <t>Shif</t>
  </si>
  <si>
    <t>Time</t>
  </si>
  <si>
    <t>Assessment</t>
  </si>
  <si>
    <t>เปิ้ล</t>
  </si>
  <si>
    <t>Closed</t>
  </si>
  <si>
    <t>เช้า</t>
  </si>
  <si>
    <t>Xray</t>
  </si>
  <si>
    <t>Consent form</t>
  </si>
  <si>
    <t>โรล</t>
  </si>
  <si>
    <t>Pharmacy</t>
  </si>
  <si>
    <t>แมน</t>
  </si>
  <si>
    <t>Package</t>
  </si>
  <si>
    <t>ต่าย</t>
  </si>
  <si>
    <t>CPOE</t>
  </si>
  <si>
    <t>EMR</t>
  </si>
  <si>
    <t>บ่าย</t>
  </si>
  <si>
    <t>IPD</t>
  </si>
  <si>
    <t>Appointment</t>
  </si>
  <si>
    <t>Other</t>
  </si>
  <si>
    <t>Billing</t>
  </si>
  <si>
    <t>Lab</t>
  </si>
  <si>
    <t>eMar</t>
  </si>
  <si>
    <t>ต้อม</t>
  </si>
  <si>
    <t>ดึก</t>
  </si>
  <si>
    <t>OR</t>
  </si>
  <si>
    <t>Log in</t>
  </si>
  <si>
    <t>OPD</t>
  </si>
  <si>
    <t>VNA</t>
  </si>
  <si>
    <t>กรณ์</t>
  </si>
  <si>
    <t>Nutrition</t>
  </si>
  <si>
    <t>Report</t>
  </si>
  <si>
    <t>มด</t>
  </si>
  <si>
    <t>ท๊อก</t>
  </si>
  <si>
    <t>In Progress</t>
  </si>
  <si>
    <t>Admit</t>
  </si>
  <si>
    <t>Interface</t>
  </si>
  <si>
    <t>ทราย</t>
  </si>
  <si>
    <t>พี่นอล</t>
  </si>
  <si>
    <t>Scan</t>
  </si>
  <si>
    <t>Open</t>
  </si>
  <si>
    <t>เต้</t>
  </si>
  <si>
    <t>Patient Info</t>
  </si>
  <si>
    <t>Dashboard HIS (IT)</t>
  </si>
  <si>
    <t>จำนวน Case ทั้งหมด</t>
  </si>
  <si>
    <t>จำนวน Case</t>
  </si>
  <si>
    <t>จำนวน</t>
  </si>
  <si>
    <t>Shift</t>
  </si>
  <si>
    <t xml:space="preserve">อาร์ต </t>
  </si>
  <si>
    <t>หนึ่ง</t>
  </si>
  <si>
    <t>เบียร์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</si>
</sst>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Tahoma"/>
      <family val="2"/>
      <scheme val="minor"/>
    </font>
    <font>
      <b/>
      <sz val="11"/>
      <name val="Tahoma"/>
    </font>
    <font>
      <b/>
      <sz val="14"/>
      <name val="Tahoma"/>
    </font>
    <font>
      <sz val="11"/>
      <color rgb="FF000000"/>
      <name val="Tahoma"/>
      <family val="2"/>
      <scheme val="minor"/>
    </font>
    <font>
      <b/>
      <sz val="11"/>
      <name val="Tahoma"/>
      <family val="2"/>
    </font>
    <font>
      <sz val="11"/>
      <color theme="1"/>
      <name val="Roboto"/>
      <charset val="1"/>
    </font>
    <font>
      <sz val="11"/>
      <color rgb="FF000000"/>
      <name val="Tahoma"/>
      <charset val="1"/>
    </font>
    <font>
      <sz val="11"/>
      <color rgb="FF000000"/>
      <name val="Leelawadee UI"/>
      <family val="2"/>
    </font>
  </fonts>
  <fills count="6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15" fontId="3" fillId="0" borderId="0" xfId="0" applyNumberFormat="1" applyFont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/>
    </xf>
    <xf numFmtId="0" fontId="0" fillId="0" borderId="0" xfId="0" applyAlignment="1">
      <alignment horizontal="left" vertical="top"/>
    </xf>
    <xf numFmtId="15" fontId="3" fillId="0" borderId="0" xfId="0" applyNumberFormat="1" applyFont="1" applyAlignment="1">
      <alignment horizontal="left" vertical="top"/>
    </xf>
    <xf numFmtId="0" fontId="0" fillId="0" borderId="0" xfId="0" applyAlignment="1">
      <alignment horizontal="left" vertical="top" wrapText="1"/>
    </xf>
    <xf numFmtId="2" fontId="0" fillId="0" borderId="0" xfId="0" applyNumberFormat="1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Case by Module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Dashboard!$B$5</c:f>
              <c:strCache>
                <c:ptCount val="1"/>
                <c:pt idx="0">
                  <c:v>จำนวน Case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Dashboard!$A$6:$A$27</c:f>
              <c:strCache>
                <c:ptCount val="22"/>
                <c:pt idx="0">
                  <c:v>OPD</c:v>
                </c:pt>
                <c:pt idx="1">
                  <c:v>IPD</c:v>
                </c:pt>
                <c:pt idx="2">
                  <c:v>Billing</c:v>
                </c:pt>
                <c:pt idx="3">
                  <c:v>Lab</c:v>
                </c:pt>
                <c:pt idx="4">
                  <c:v>Pharmacy</c:v>
                </c:pt>
                <c:pt idx="5">
                  <c:v>Appointment</c:v>
                </c:pt>
                <c:pt idx="6">
                  <c:v>OR</c:v>
                </c:pt>
                <c:pt idx="7">
                  <c:v>EMR</c:v>
                </c:pt>
                <c:pt idx="8">
                  <c:v>Interface</c:v>
                </c:pt>
                <c:pt idx="9">
                  <c:v>Xray</c:v>
                </c:pt>
                <c:pt idx="10">
                  <c:v>Consent form</c:v>
                </c:pt>
                <c:pt idx="11">
                  <c:v>Assessment</c:v>
                </c:pt>
                <c:pt idx="12">
                  <c:v>Package</c:v>
                </c:pt>
                <c:pt idx="13">
                  <c:v>CPOE</c:v>
                </c:pt>
                <c:pt idx="14">
                  <c:v>eMar</c:v>
                </c:pt>
                <c:pt idx="15">
                  <c:v>Log in</c:v>
                </c:pt>
                <c:pt idx="16">
                  <c:v>VNA</c:v>
                </c:pt>
                <c:pt idx="17">
                  <c:v>Nutrition</c:v>
                </c:pt>
                <c:pt idx="18">
                  <c:v>Report</c:v>
                </c:pt>
                <c:pt idx="19">
                  <c:v>Scan</c:v>
                </c:pt>
                <c:pt idx="20">
                  <c:v>Admit</c:v>
                </c:pt>
                <c:pt idx="21">
                  <c:v>Patient Info</c:v>
                </c:pt>
              </c:strCache>
            </c:strRef>
          </c:cat>
          <c:val>
            <c:numRef>
              <c:f>Dashboard!$B$6:$B$27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61-4509-B1B7-3C6B28A2B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Case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Dashboard!$H$5</c:f>
              <c:strCache>
                <c:ptCount val="1"/>
                <c:pt idx="0">
                  <c:v>จำนวน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Dashboard!$G$6:$G$8</c:f>
              <c:strCache>
                <c:ptCount val="3"/>
                <c:pt idx="0">
                  <c:v>Open</c:v>
                </c:pt>
                <c:pt idx="1">
                  <c:v>In Progress</c:v>
                </c:pt>
                <c:pt idx="2">
                  <c:v>Closed</c:v>
                </c:pt>
              </c:strCache>
            </c:strRef>
          </c:cat>
          <c:val>
            <c:numRef>
              <c:f>Dashboard!$H$6:$H$8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F-461E-A473-5FC4C2E55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876300</xdr:colOff>
      <xdr:row>29</xdr:row>
      <xdr:rowOff>28575</xdr:rowOff>
    </xdr:from>
    <xdr:ext cx="5400675" cy="3238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47625</xdr:colOff>
      <xdr:row>29</xdr:row>
      <xdr:rowOff>76200</xdr:rowOff>
    </xdr:from>
    <xdr:ext cx="5400675" cy="32766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  <a:ext uri="{147F2762-F138-4A5C-976F-8EAC2B608ADB}">
              <a16:predDERef xmlns:a16="http://schemas.microsoft.com/office/drawing/2014/main" pre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3"/>
  <sheetViews>
    <sheetView tabSelected="1" workbookViewId="0">
      <pane ySplit="1" topLeftCell="A448" activePane="bottomLeft" state="frozen"/>
      <selection pane="bottomLeft" activeCell="H464" sqref="H464"/>
    </sheetView>
  </sheetViews>
  <sheetFormatPr defaultRowHeight="14.25" x14ac:dyDescent="0.2"/>
  <cols>
    <col min="1" max="1" width="8" style="14" customWidth="1"/>
    <col min="2" max="2" width="10.25" style="2" customWidth="1"/>
    <col min="3" max="3" width="16.875" style="6" customWidth="1"/>
    <col min="4" max="4" width="13.625" style="6" customWidth="1"/>
    <col min="5" max="5" width="53.75" style="7" customWidth="1"/>
    <col min="6" max="6" width="10.375" style="6" customWidth="1"/>
    <col min="7" max="7" width="12.375" style="9" customWidth="1"/>
    <col min="8" max="8" width="53.75" style="7" customWidth="1"/>
    <col min="9" max="9" width="11.25" style="6" customWidth="1"/>
    <col min="10" max="10" width="9.25" style="6" customWidth="1"/>
    <col min="11" max="11" width="9" style="8"/>
  </cols>
  <sheetData>
    <row r="1" spans="1:11" s="20" customFormat="1" ht="27" customHeight="1" x14ac:dyDescent="0.2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6" t="s">
        <v>5</v>
      </c>
      <c r="G1" s="16" t="s">
        <v>6</v>
      </c>
      <c r="H1" s="17" t="s">
        <v>7</v>
      </c>
      <c r="I1" s="16" t="s">
        <v>8</v>
      </c>
      <c r="J1" s="18" t="s">
        <v>9</v>
      </c>
      <c r="K1" s="19" t="s">
        <v>10</v>
      </c>
    </row>
    <row r="2" spans="1:11" s="9" customFormat="1" x14ac:dyDescent="0.2">
      <c r="A2" s="13"/>
      <c r="B2" s="10"/>
      <c r="E2" s="11"/>
      <c r="H2" s="11"/>
      <c r="K2" s="12"/>
    </row>
    <row r="3" spans="1:11" s="9" customFormat="1" ht="19.5" customHeight="1" x14ac:dyDescent="0.2">
      <c r="A3" s="13"/>
      <c r="B3" s="10"/>
      <c r="E3" s="11"/>
      <c r="H3" s="11"/>
      <c r="K3" s="12"/>
    </row>
    <row r="4" spans="1:11" s="9" customFormat="1" ht="31.5" customHeight="1" x14ac:dyDescent="0.2">
      <c r="A4" s="13"/>
      <c r="B4" s="10"/>
      <c r="E4" s="11"/>
      <c r="H4" s="11"/>
      <c r="K4" s="12"/>
    </row>
    <row r="5" spans="1:11" s="9" customFormat="1" ht="27.75" customHeight="1" x14ac:dyDescent="0.2">
      <c r="A5" s="13"/>
      <c r="B5" s="10"/>
      <c r="E5" s="11"/>
      <c r="H5" s="11"/>
      <c r="K5" s="12"/>
    </row>
    <row r="6" spans="1:11" s="9" customFormat="1" ht="19.5" customHeight="1" x14ac:dyDescent="0.2">
      <c r="A6" s="13"/>
      <c r="B6" s="10"/>
      <c r="E6" s="11"/>
      <c r="H6" s="11"/>
      <c r="K6" s="12"/>
    </row>
    <row r="7" spans="1:11" s="9" customFormat="1" ht="19.5" customHeight="1" x14ac:dyDescent="0.2">
      <c r="A7" s="13"/>
      <c r="B7" s="10"/>
      <c r="E7" s="11"/>
      <c r="H7" s="11"/>
      <c r="K7" s="12"/>
    </row>
    <row r="8" spans="1:11" s="9" customFormat="1" ht="19.5" customHeight="1" x14ac:dyDescent="0.2">
      <c r="A8" s="13"/>
      <c r="B8" s="10"/>
      <c r="E8" s="11"/>
      <c r="H8" s="11"/>
      <c r="K8" s="12"/>
    </row>
    <row r="9" spans="1:11" s="9" customFormat="1" ht="67.5" customHeight="1" x14ac:dyDescent="0.2">
      <c r="A9" s="13"/>
      <c r="B9" s="10"/>
      <c r="E9" s="11"/>
      <c r="H9" s="11"/>
      <c r="K9" s="12"/>
    </row>
    <row r="10" spans="1:11" s="9" customFormat="1" ht="19.5" customHeight="1" x14ac:dyDescent="0.2">
      <c r="A10" s="13"/>
      <c r="B10" s="10"/>
      <c r="E10" s="11"/>
      <c r="H10" s="11"/>
      <c r="K10" s="12"/>
    </row>
    <row r="11" spans="1:11" s="9" customFormat="1" ht="19.5" customHeight="1" x14ac:dyDescent="0.2">
      <c r="A11" s="13"/>
      <c r="B11" s="10"/>
      <c r="E11" s="11"/>
      <c r="H11" s="11"/>
      <c r="K11" s="12"/>
    </row>
    <row r="12" spans="1:11" s="9" customFormat="1" ht="85.5" customHeight="1" x14ac:dyDescent="0.2">
      <c r="A12" s="13"/>
      <c r="B12" s="10"/>
      <c r="E12" s="11"/>
      <c r="H12" s="11"/>
      <c r="K12" s="12"/>
    </row>
    <row r="13" spans="1:11" s="9" customFormat="1" ht="36" customHeight="1" x14ac:dyDescent="0.2">
      <c r="A13" s="13"/>
      <c r="B13" s="10"/>
      <c r="E13" s="11"/>
      <c r="H13" s="11"/>
      <c r="K13" s="12"/>
    </row>
    <row r="14" spans="1:11" s="9" customFormat="1" ht="36" customHeight="1" x14ac:dyDescent="0.2">
      <c r="A14" s="13"/>
      <c r="B14" s="10"/>
      <c r="E14" s="11"/>
      <c r="H14" s="11"/>
      <c r="K14" s="12"/>
    </row>
    <row r="15" spans="1:11" s="9" customFormat="1" ht="36" customHeight="1" x14ac:dyDescent="0.2">
      <c r="A15" s="13"/>
      <c r="B15" s="10"/>
      <c r="E15" s="11"/>
      <c r="H15" s="11"/>
      <c r="K15" s="12"/>
    </row>
    <row r="16" spans="1:11" s="9" customFormat="1" ht="19.5" customHeight="1" x14ac:dyDescent="0.2">
      <c r="A16" s="13"/>
      <c r="B16" s="10"/>
      <c r="E16" s="11"/>
      <c r="H16" s="11"/>
      <c r="K16" s="12"/>
    </row>
    <row r="17" spans="1:11" s="9" customFormat="1" ht="39.75" customHeight="1" x14ac:dyDescent="0.2">
      <c r="A17" s="13"/>
      <c r="B17" s="10"/>
      <c r="E17" s="11"/>
      <c r="H17" s="11"/>
      <c r="K17" s="12"/>
    </row>
    <row r="18" spans="1:11" s="9" customFormat="1" ht="60" customHeight="1" x14ac:dyDescent="0.2">
      <c r="A18" s="13"/>
      <c r="B18" s="10"/>
      <c r="E18" s="11"/>
      <c r="H18" s="11"/>
      <c r="K18" s="12"/>
    </row>
    <row r="19" spans="1:11" s="9" customFormat="1" ht="36.75" customHeight="1" x14ac:dyDescent="0.2">
      <c r="A19" s="13"/>
      <c r="B19" s="10"/>
      <c r="E19" s="11"/>
      <c r="H19" s="11"/>
      <c r="K19" s="12"/>
    </row>
    <row r="20" spans="1:11" s="9" customFormat="1" ht="42.75" customHeight="1" x14ac:dyDescent="0.2">
      <c r="A20" s="13"/>
      <c r="B20" s="10"/>
      <c r="E20" s="11"/>
      <c r="H20" s="11"/>
      <c r="K20" s="12"/>
    </row>
    <row r="21" spans="1:11" s="9" customFormat="1" x14ac:dyDescent="0.2">
      <c r="A21" s="13"/>
      <c r="B21" s="10"/>
      <c r="E21" s="11"/>
      <c r="H21" s="11"/>
      <c r="K21" s="12"/>
    </row>
    <row r="22" spans="1:11" s="9" customFormat="1" x14ac:dyDescent="0.2">
      <c r="A22" s="13"/>
      <c r="B22" s="10"/>
      <c r="E22" s="11"/>
      <c r="H22" s="11"/>
      <c r="K22" s="12"/>
    </row>
    <row r="23" spans="1:11" s="9" customFormat="1" x14ac:dyDescent="0.2">
      <c r="A23" s="13"/>
      <c r="B23" s="10"/>
      <c r="E23" s="11"/>
      <c r="H23" s="11"/>
      <c r="K23" s="12"/>
    </row>
    <row r="24" spans="1:11" s="9" customFormat="1" x14ac:dyDescent="0.2">
      <c r="A24" s="13"/>
      <c r="B24" s="10"/>
      <c r="E24" s="11"/>
      <c r="H24" s="11"/>
      <c r="K24" s="12"/>
    </row>
    <row r="25" spans="1:11" s="9" customFormat="1" x14ac:dyDescent="0.2">
      <c r="A25" s="13"/>
      <c r="B25" s="10"/>
      <c r="E25" s="11"/>
      <c r="H25" s="22"/>
      <c r="K25" s="12"/>
    </row>
    <row r="26" spans="1:11" s="9" customFormat="1" x14ac:dyDescent="0.2">
      <c r="A26" s="13"/>
      <c r="B26" s="10"/>
      <c r="E26" s="11"/>
      <c r="H26" s="11"/>
      <c r="K26" s="12"/>
    </row>
    <row r="27" spans="1:11" s="9" customFormat="1" x14ac:dyDescent="0.2">
      <c r="A27" s="13"/>
      <c r="B27" s="10"/>
      <c r="E27" s="11"/>
      <c r="H27" s="11"/>
      <c r="K27" s="12"/>
    </row>
    <row r="28" spans="1:11" s="9" customFormat="1" x14ac:dyDescent="0.2">
      <c r="A28" s="13"/>
      <c r="B28" s="10"/>
      <c r="E28" s="11"/>
      <c r="H28" s="11"/>
      <c r="K28" s="12"/>
    </row>
    <row r="29" spans="1:11" s="9" customFormat="1" x14ac:dyDescent="0.2">
      <c r="A29" s="13"/>
      <c r="B29" s="10"/>
      <c r="E29" s="11"/>
      <c r="H29" s="11"/>
      <c r="K29" s="12"/>
    </row>
    <row r="30" spans="1:11" s="9" customFormat="1" x14ac:dyDescent="0.2">
      <c r="A30" s="13"/>
      <c r="B30" s="10"/>
      <c r="E30" s="11"/>
      <c r="H30" s="11"/>
      <c r="K30" s="12"/>
    </row>
    <row r="31" spans="1:11" s="9" customFormat="1" x14ac:dyDescent="0.2">
      <c r="A31" s="13"/>
      <c r="B31" s="10"/>
      <c r="E31" s="11"/>
      <c r="H31" s="11"/>
      <c r="K31" s="12"/>
    </row>
    <row r="32" spans="1:11" s="9" customFormat="1" ht="39" customHeight="1" x14ac:dyDescent="0.2">
      <c r="A32" s="13"/>
      <c r="B32" s="10"/>
      <c r="E32" s="11"/>
      <c r="H32" s="11"/>
      <c r="K32" s="12"/>
    </row>
    <row r="33" spans="1:11" s="9" customFormat="1" ht="53.25" customHeight="1" x14ac:dyDescent="0.2">
      <c r="A33" s="13"/>
      <c r="B33" s="10"/>
      <c r="E33" s="11"/>
      <c r="H33" s="11"/>
      <c r="K33" s="12"/>
    </row>
    <row r="34" spans="1:11" s="9" customFormat="1" x14ac:dyDescent="0.2">
      <c r="A34" s="13"/>
      <c r="B34" s="10"/>
      <c r="E34" s="11"/>
      <c r="H34" s="11"/>
      <c r="K34" s="12"/>
    </row>
    <row r="35" spans="1:11" s="9" customFormat="1" ht="23.25" customHeight="1" x14ac:dyDescent="0.2">
      <c r="A35" s="13"/>
      <c r="B35" s="10"/>
      <c r="E35" s="11"/>
      <c r="H35" s="11"/>
      <c r="K35" s="12"/>
    </row>
    <row r="36" spans="1:11" s="9" customFormat="1" ht="50.25" customHeight="1" x14ac:dyDescent="0.2">
      <c r="A36" s="13"/>
      <c r="B36" s="10"/>
      <c r="E36" s="11"/>
      <c r="H36" s="11"/>
      <c r="K36" s="12"/>
    </row>
    <row r="37" spans="1:11" s="9" customFormat="1" ht="51" customHeight="1" x14ac:dyDescent="0.2">
      <c r="A37" s="13"/>
      <c r="B37" s="10"/>
      <c r="E37" s="11"/>
      <c r="H37" s="11"/>
      <c r="K37" s="12"/>
    </row>
    <row r="38" spans="1:11" s="9" customFormat="1" ht="81" customHeight="1" x14ac:dyDescent="0.2">
      <c r="A38" s="13"/>
      <c r="B38" s="10"/>
      <c r="E38" s="11"/>
      <c r="H38" s="11"/>
      <c r="K38" s="12"/>
    </row>
    <row r="39" spans="1:11" s="9" customFormat="1" x14ac:dyDescent="0.2">
      <c r="A39" s="13"/>
      <c r="B39" s="10"/>
      <c r="E39" s="11"/>
      <c r="H39" s="11"/>
      <c r="K39" s="12"/>
    </row>
    <row r="40" spans="1:11" s="9" customFormat="1" x14ac:dyDescent="0.2">
      <c r="A40" s="13"/>
      <c r="B40" s="10"/>
      <c r="E40" s="11"/>
      <c r="H40" s="11"/>
      <c r="K40" s="12"/>
    </row>
    <row r="41" spans="1:11" s="9" customFormat="1" ht="15" x14ac:dyDescent="0.25">
      <c r="A41" s="13"/>
      <c r="B41" s="10"/>
      <c r="E41" s="21"/>
      <c r="H41" s="11"/>
      <c r="K41" s="12"/>
    </row>
    <row r="42" spans="1:11" s="9" customFormat="1" ht="22.5" customHeight="1" x14ac:dyDescent="0.2">
      <c r="A42" s="13"/>
      <c r="B42" s="10"/>
      <c r="E42" s="11"/>
      <c r="H42" s="11"/>
      <c r="K42" s="12"/>
    </row>
    <row r="43" spans="1:11" s="9" customFormat="1" ht="70.5" customHeight="1" x14ac:dyDescent="0.2">
      <c r="A43" s="13"/>
      <c r="B43" s="10"/>
      <c r="E43" s="11"/>
      <c r="H43" s="11"/>
      <c r="K43" s="12"/>
    </row>
    <row r="44" spans="1:11" s="9" customFormat="1" x14ac:dyDescent="0.2">
      <c r="A44" s="13"/>
      <c r="B44" s="10"/>
      <c r="E44" s="11"/>
      <c r="H44" s="11"/>
      <c r="K44" s="12"/>
    </row>
    <row r="45" spans="1:11" s="9" customFormat="1" x14ac:dyDescent="0.2">
      <c r="A45" s="13"/>
      <c r="B45" s="10"/>
      <c r="K45" s="12"/>
    </row>
    <row r="46" spans="1:11" s="9" customFormat="1" x14ac:dyDescent="0.2">
      <c r="A46" s="13"/>
      <c r="B46" s="10"/>
      <c r="E46" s="11"/>
      <c r="H46" s="11"/>
      <c r="K46" s="12"/>
    </row>
    <row r="47" spans="1:11" s="9" customFormat="1" ht="40.5" customHeight="1" x14ac:dyDescent="0.2">
      <c r="A47" s="13"/>
      <c r="B47" s="10"/>
      <c r="E47" s="11"/>
      <c r="H47" s="11"/>
      <c r="K47" s="12"/>
    </row>
    <row r="48" spans="1:11" s="9" customFormat="1" x14ac:dyDescent="0.2">
      <c r="A48" s="13"/>
      <c r="B48" s="10"/>
      <c r="E48" s="11"/>
      <c r="H48" s="11"/>
      <c r="K48" s="12"/>
    </row>
    <row r="49" spans="1:11" s="9" customFormat="1" x14ac:dyDescent="0.2">
      <c r="A49" s="13"/>
      <c r="B49" s="10"/>
      <c r="E49" s="11"/>
      <c r="H49" s="11"/>
      <c r="K49" s="12"/>
    </row>
    <row r="50" spans="1:11" s="9" customFormat="1" x14ac:dyDescent="0.2">
      <c r="A50" s="13"/>
      <c r="B50" s="10"/>
      <c r="E50" s="11"/>
      <c r="H50" s="11"/>
      <c r="K50" s="12"/>
    </row>
    <row r="51" spans="1:11" s="9" customFormat="1" x14ac:dyDescent="0.2">
      <c r="A51" s="13"/>
      <c r="B51" s="10"/>
      <c r="E51" s="11"/>
      <c r="H51" s="11"/>
      <c r="K51" s="12"/>
    </row>
    <row r="52" spans="1:11" s="9" customFormat="1" x14ac:dyDescent="0.2">
      <c r="A52" s="13"/>
      <c r="B52" s="10"/>
      <c r="E52" s="11"/>
      <c r="H52" s="11"/>
      <c r="K52" s="12"/>
    </row>
    <row r="53" spans="1:11" s="9" customFormat="1" ht="67.5" customHeight="1" x14ac:dyDescent="0.2">
      <c r="A53" s="13"/>
      <c r="B53" s="10"/>
      <c r="E53" s="11"/>
      <c r="H53" s="11"/>
      <c r="K53" s="12"/>
    </row>
    <row r="54" spans="1:11" s="9" customFormat="1" ht="29.25" customHeight="1" x14ac:dyDescent="0.2">
      <c r="A54" s="13"/>
      <c r="B54" s="10"/>
      <c r="E54" s="11"/>
      <c r="H54" s="11"/>
      <c r="K54" s="12"/>
    </row>
    <row r="55" spans="1:11" s="9" customFormat="1" x14ac:dyDescent="0.2">
      <c r="A55" s="13"/>
      <c r="B55" s="10"/>
      <c r="E55" s="11"/>
      <c r="H55" s="11"/>
      <c r="K55" s="12"/>
    </row>
    <row r="56" spans="1:11" s="9" customFormat="1" x14ac:dyDescent="0.2">
      <c r="A56" s="13"/>
      <c r="B56" s="10"/>
      <c r="E56" s="11"/>
      <c r="H56" s="11"/>
      <c r="K56" s="12"/>
    </row>
    <row r="57" spans="1:11" s="9" customFormat="1" x14ac:dyDescent="0.2">
      <c r="A57" s="13"/>
      <c r="B57" s="10"/>
      <c r="E57" s="11"/>
      <c r="H57" s="11"/>
      <c r="K57" s="12"/>
    </row>
    <row r="58" spans="1:11" s="9" customFormat="1" x14ac:dyDescent="0.2">
      <c r="A58" s="13"/>
      <c r="B58" s="10"/>
      <c r="E58" s="11"/>
      <c r="H58" s="11"/>
      <c r="K58" s="12"/>
    </row>
    <row r="59" spans="1:11" s="9" customFormat="1" ht="49.5" customHeight="1" x14ac:dyDescent="0.2">
      <c r="A59" s="13"/>
      <c r="B59" s="10"/>
      <c r="E59" s="11"/>
      <c r="H59" s="11"/>
      <c r="K59" s="12"/>
    </row>
    <row r="60" spans="1:11" s="9" customFormat="1" ht="35.25" customHeight="1" x14ac:dyDescent="0.2">
      <c r="A60" s="13"/>
      <c r="B60" s="10"/>
      <c r="E60" s="11"/>
      <c r="H60" s="11"/>
      <c r="K60" s="12"/>
    </row>
    <row r="61" spans="1:11" s="9" customFormat="1" x14ac:dyDescent="0.2">
      <c r="A61" s="13"/>
      <c r="B61" s="10"/>
      <c r="E61" s="11"/>
      <c r="H61" s="11"/>
      <c r="K61" s="12"/>
    </row>
    <row r="62" spans="1:11" s="9" customFormat="1" ht="22.5" customHeight="1" x14ac:dyDescent="0.2">
      <c r="A62" s="13"/>
      <c r="B62" s="10"/>
      <c r="E62" s="11"/>
      <c r="H62" s="11"/>
      <c r="K62" s="12"/>
    </row>
    <row r="63" spans="1:11" s="9" customFormat="1" x14ac:dyDescent="0.2">
      <c r="A63" s="13"/>
      <c r="B63" s="10"/>
      <c r="E63" s="11"/>
      <c r="H63" s="11"/>
      <c r="K63" s="12"/>
    </row>
    <row r="64" spans="1:11" s="9" customFormat="1" ht="21.75" customHeight="1" x14ac:dyDescent="0.2">
      <c r="A64" s="13"/>
      <c r="B64" s="10"/>
      <c r="E64" s="11"/>
      <c r="H64" s="11"/>
      <c r="K64" s="12"/>
    </row>
    <row r="65" spans="1:11" s="9" customFormat="1" ht="36.75" customHeight="1" x14ac:dyDescent="0.2">
      <c r="A65" s="13"/>
      <c r="B65" s="10"/>
      <c r="E65" s="11"/>
      <c r="H65" s="11"/>
      <c r="K65" s="12"/>
    </row>
    <row r="66" spans="1:11" s="9" customFormat="1" x14ac:dyDescent="0.2">
      <c r="A66" s="13"/>
      <c r="B66" s="10"/>
      <c r="E66" s="11"/>
      <c r="H66" s="11"/>
      <c r="K66" s="12"/>
    </row>
    <row r="67" spans="1:11" s="9" customFormat="1" ht="36.75" customHeight="1" x14ac:dyDescent="0.2">
      <c r="A67" s="13"/>
      <c r="B67" s="10"/>
      <c r="E67" s="11"/>
      <c r="H67" s="11"/>
      <c r="K67" s="12"/>
    </row>
    <row r="68" spans="1:11" s="9" customFormat="1" x14ac:dyDescent="0.2">
      <c r="A68" s="13"/>
      <c r="B68" s="10"/>
      <c r="E68" s="11"/>
      <c r="H68" s="11"/>
      <c r="K68" s="12"/>
    </row>
    <row r="69" spans="1:11" s="9" customFormat="1" x14ac:dyDescent="0.2">
      <c r="A69" s="13"/>
      <c r="B69" s="10"/>
      <c r="E69" s="11"/>
      <c r="H69" s="11"/>
      <c r="K69" s="12"/>
    </row>
    <row r="70" spans="1:11" s="9" customFormat="1" x14ac:dyDescent="0.2">
      <c r="A70" s="13"/>
      <c r="B70" s="10"/>
      <c r="E70" s="11"/>
      <c r="H70" s="11"/>
      <c r="K70" s="12"/>
    </row>
    <row r="71" spans="1:11" s="9" customFormat="1" x14ac:dyDescent="0.2">
      <c r="A71" s="13"/>
      <c r="B71" s="10"/>
      <c r="E71" s="11"/>
      <c r="H71" s="11"/>
      <c r="K71" s="12"/>
    </row>
    <row r="72" spans="1:11" s="9" customFormat="1" x14ac:dyDescent="0.2">
      <c r="A72" s="13"/>
      <c r="B72" s="10"/>
      <c r="E72" s="11"/>
      <c r="H72" s="11"/>
      <c r="K72" s="12"/>
    </row>
    <row r="73" spans="1:11" s="9" customFormat="1" x14ac:dyDescent="0.2">
      <c r="A73" s="13"/>
      <c r="B73" s="10"/>
      <c r="E73" s="11"/>
      <c r="H73" s="11"/>
      <c r="K73" s="12"/>
    </row>
    <row r="74" spans="1:11" s="9" customFormat="1" x14ac:dyDescent="0.2">
      <c r="A74" s="13"/>
      <c r="B74" s="10"/>
      <c r="E74" s="11"/>
      <c r="H74" s="11"/>
      <c r="K74" s="12"/>
    </row>
    <row r="75" spans="1:11" s="9" customFormat="1" x14ac:dyDescent="0.2">
      <c r="A75" s="13"/>
      <c r="B75" s="10"/>
      <c r="E75" s="11"/>
      <c r="H75" s="11"/>
      <c r="K75" s="12"/>
    </row>
    <row r="76" spans="1:11" s="9" customFormat="1" x14ac:dyDescent="0.2">
      <c r="A76" s="13"/>
      <c r="B76" s="10"/>
      <c r="E76" s="11"/>
      <c r="H76" s="11"/>
      <c r="K76" s="12"/>
    </row>
    <row r="77" spans="1:11" s="9" customFormat="1" ht="51.75" customHeight="1" x14ac:dyDescent="0.2">
      <c r="A77" s="13"/>
      <c r="B77" s="10"/>
      <c r="E77" s="11"/>
      <c r="H77" s="11"/>
      <c r="K77" s="12"/>
    </row>
    <row r="78" spans="1:11" s="9" customFormat="1" x14ac:dyDescent="0.2">
      <c r="A78" s="13"/>
      <c r="B78" s="10"/>
      <c r="E78" s="11"/>
      <c r="H78" s="11"/>
      <c r="K78" s="12"/>
    </row>
    <row r="79" spans="1:11" s="9" customFormat="1" x14ac:dyDescent="0.2">
      <c r="A79" s="13"/>
      <c r="B79" s="10"/>
      <c r="E79" s="11"/>
      <c r="H79" s="11"/>
      <c r="K79" s="12"/>
    </row>
    <row r="80" spans="1:11" s="9" customFormat="1" ht="155.25" customHeight="1" x14ac:dyDescent="0.2">
      <c r="A80" s="13"/>
      <c r="B80" s="10"/>
      <c r="E80" s="11"/>
      <c r="H80" s="11"/>
      <c r="K80" s="12"/>
    </row>
    <row r="81" spans="1:11" s="9" customFormat="1" ht="24" customHeight="1" x14ac:dyDescent="0.2">
      <c r="A81" s="13"/>
      <c r="B81" s="10"/>
      <c r="E81" s="11"/>
      <c r="H81" s="11"/>
      <c r="K81" s="12"/>
    </row>
    <row r="82" spans="1:11" s="9" customFormat="1" x14ac:dyDescent="0.2">
      <c r="A82" s="13"/>
      <c r="B82" s="10"/>
      <c r="E82" s="11"/>
      <c r="H82" s="11"/>
      <c r="K82" s="12"/>
    </row>
    <row r="83" spans="1:11" s="9" customFormat="1" x14ac:dyDescent="0.2">
      <c r="A83" s="13"/>
      <c r="B83" s="10"/>
      <c r="E83" s="11"/>
      <c r="H83" s="11"/>
      <c r="K83" s="12"/>
    </row>
    <row r="84" spans="1:11" s="9" customFormat="1" x14ac:dyDescent="0.2">
      <c r="A84" s="13"/>
      <c r="B84" s="10"/>
      <c r="E84" s="11"/>
      <c r="H84" s="11"/>
      <c r="K84" s="12"/>
    </row>
    <row r="85" spans="1:11" s="9" customFormat="1" x14ac:dyDescent="0.2">
      <c r="A85" s="13"/>
      <c r="B85" s="10"/>
      <c r="E85" s="11"/>
      <c r="H85" s="11"/>
      <c r="K85" s="12"/>
    </row>
    <row r="86" spans="1:11" s="9" customFormat="1" x14ac:dyDescent="0.2">
      <c r="A86" s="13"/>
      <c r="B86" s="10"/>
      <c r="E86" s="11"/>
      <c r="H86" s="11"/>
      <c r="K86" s="12"/>
    </row>
    <row r="87" spans="1:11" s="9" customFormat="1" x14ac:dyDescent="0.2">
      <c r="A87" s="13"/>
      <c r="B87" s="10"/>
      <c r="E87" s="11"/>
      <c r="H87" s="11"/>
      <c r="K87" s="12"/>
    </row>
    <row r="88" spans="1:11" s="9" customFormat="1" x14ac:dyDescent="0.2">
      <c r="A88" s="13"/>
      <c r="B88" s="10"/>
      <c r="E88" s="11"/>
      <c r="H88" s="11"/>
      <c r="K88" s="12"/>
    </row>
    <row r="89" spans="1:11" s="9" customFormat="1" x14ac:dyDescent="0.2">
      <c r="A89" s="13"/>
      <c r="B89" s="10"/>
      <c r="E89" s="11"/>
      <c r="H89" s="11"/>
      <c r="K89" s="12"/>
    </row>
    <row r="90" spans="1:11" s="9" customFormat="1" ht="91.5" customHeight="1" x14ac:dyDescent="0.2">
      <c r="A90" s="13"/>
      <c r="B90" s="10"/>
      <c r="E90" s="11"/>
      <c r="H90" s="11"/>
      <c r="K90" s="12"/>
    </row>
    <row r="91" spans="1:11" s="9" customFormat="1" x14ac:dyDescent="0.2">
      <c r="A91" s="13"/>
      <c r="B91" s="10"/>
      <c r="E91" s="11"/>
      <c r="H91" s="11"/>
      <c r="K91" s="12"/>
    </row>
    <row r="92" spans="1:11" s="9" customFormat="1" x14ac:dyDescent="0.2">
      <c r="A92" s="13"/>
      <c r="B92" s="10"/>
      <c r="E92" s="11"/>
      <c r="H92" s="11"/>
      <c r="K92" s="12"/>
    </row>
    <row r="93" spans="1:11" s="9" customFormat="1" x14ac:dyDescent="0.2">
      <c r="A93" s="13"/>
      <c r="B93" s="10"/>
      <c r="E93" s="11"/>
      <c r="H93" s="11"/>
      <c r="K93" s="12"/>
    </row>
    <row r="94" spans="1:11" s="9" customFormat="1" x14ac:dyDescent="0.2">
      <c r="A94" s="13"/>
      <c r="B94" s="10"/>
      <c r="E94" s="11"/>
      <c r="H94" s="11"/>
      <c r="K94" s="12"/>
    </row>
    <row r="95" spans="1:11" s="9" customFormat="1" x14ac:dyDescent="0.2">
      <c r="A95" s="13"/>
      <c r="B95" s="10"/>
      <c r="E95" s="11"/>
      <c r="H95" s="11"/>
      <c r="K95" s="12"/>
    </row>
    <row r="96" spans="1:11" s="9" customFormat="1" x14ac:dyDescent="0.2">
      <c r="A96" s="13"/>
      <c r="B96" s="10"/>
      <c r="E96" s="11"/>
      <c r="H96" s="11"/>
      <c r="K96" s="12"/>
    </row>
    <row r="97" spans="1:11" s="9" customFormat="1" x14ac:dyDescent="0.2">
      <c r="A97" s="13"/>
      <c r="B97" s="10"/>
      <c r="E97" s="11"/>
      <c r="H97" s="11"/>
      <c r="K97" s="12"/>
    </row>
    <row r="98" spans="1:11" s="9" customFormat="1" x14ac:dyDescent="0.2">
      <c r="A98" s="13"/>
      <c r="B98" s="10"/>
      <c r="E98" s="11"/>
      <c r="H98" s="11"/>
      <c r="K98" s="12"/>
    </row>
    <row r="99" spans="1:11" s="9" customFormat="1" x14ac:dyDescent="0.2">
      <c r="A99" s="13"/>
      <c r="B99" s="10"/>
      <c r="E99" s="11"/>
      <c r="H99" s="11"/>
      <c r="K99" s="12"/>
    </row>
    <row r="100" spans="1:11" s="9" customFormat="1" x14ac:dyDescent="0.2">
      <c r="A100" s="13"/>
      <c r="B100" s="10"/>
      <c r="E100" s="11"/>
      <c r="H100" s="11"/>
      <c r="K100" s="12"/>
    </row>
    <row r="101" spans="1:11" s="9" customFormat="1" x14ac:dyDescent="0.2">
      <c r="A101" s="13"/>
      <c r="B101" s="10"/>
      <c r="E101" s="11"/>
      <c r="H101" s="11"/>
      <c r="K101" s="12"/>
    </row>
    <row r="102" spans="1:11" s="9" customFormat="1" x14ac:dyDescent="0.2">
      <c r="A102" s="13"/>
      <c r="B102" s="10"/>
      <c r="E102" s="11"/>
      <c r="H102" s="11"/>
      <c r="K102" s="12"/>
    </row>
    <row r="103" spans="1:11" s="9" customFormat="1" x14ac:dyDescent="0.2">
      <c r="A103" s="13"/>
      <c r="B103" s="10"/>
      <c r="E103" s="11"/>
      <c r="H103" s="11"/>
      <c r="K103" s="12"/>
    </row>
    <row r="104" spans="1:11" s="9" customFormat="1" x14ac:dyDescent="0.2">
      <c r="A104" s="13"/>
      <c r="B104" s="10"/>
      <c r="E104" s="11"/>
      <c r="H104" s="11"/>
      <c r="K104" s="12"/>
    </row>
    <row r="105" spans="1:11" s="9" customFormat="1" x14ac:dyDescent="0.2">
      <c r="A105" s="13"/>
      <c r="B105" s="10"/>
      <c r="E105" s="11"/>
      <c r="H105" s="11"/>
      <c r="K105" s="12"/>
    </row>
    <row r="106" spans="1:11" s="9" customFormat="1" x14ac:dyDescent="0.2">
      <c r="A106" s="13"/>
      <c r="B106" s="10"/>
      <c r="E106" s="11"/>
      <c r="H106" s="11"/>
      <c r="K106" s="12"/>
    </row>
    <row r="107" spans="1:11" s="9" customFormat="1" x14ac:dyDescent="0.2">
      <c r="A107" s="13"/>
      <c r="B107" s="10"/>
      <c r="E107" s="11"/>
      <c r="H107" s="11"/>
      <c r="K107" s="12"/>
    </row>
    <row r="108" spans="1:11" s="9" customFormat="1" x14ac:dyDescent="0.2">
      <c r="A108" s="13"/>
      <c r="B108" s="10"/>
      <c r="E108" s="11"/>
      <c r="H108" s="11"/>
      <c r="K108" s="12"/>
    </row>
    <row r="109" spans="1:11" s="9" customFormat="1" x14ac:dyDescent="0.2">
      <c r="A109" s="13"/>
      <c r="B109" s="10"/>
      <c r="E109" s="11"/>
      <c r="H109" s="11"/>
      <c r="K109" s="12"/>
    </row>
    <row r="110" spans="1:11" s="9" customFormat="1" ht="51" customHeight="1" x14ac:dyDescent="0.2">
      <c r="A110" s="13"/>
      <c r="B110" s="10"/>
      <c r="E110" s="11"/>
      <c r="H110" s="11"/>
      <c r="K110" s="12"/>
    </row>
    <row r="111" spans="1:11" s="9" customFormat="1" ht="51" customHeight="1" x14ac:dyDescent="0.2">
      <c r="A111" s="13"/>
      <c r="B111" s="10"/>
      <c r="E111" s="11"/>
      <c r="H111" s="11"/>
      <c r="K111" s="12"/>
    </row>
    <row r="112" spans="1:11" s="9" customFormat="1" ht="51" customHeight="1" x14ac:dyDescent="0.2">
      <c r="A112" s="13"/>
      <c r="B112" s="10"/>
      <c r="E112" s="11"/>
      <c r="H112" s="11"/>
      <c r="K112" s="12"/>
    </row>
    <row r="113" spans="1:11" s="9" customFormat="1" ht="51" customHeight="1" x14ac:dyDescent="0.2">
      <c r="A113" s="13"/>
      <c r="B113" s="10"/>
      <c r="E113" s="11"/>
      <c r="H113" s="11"/>
      <c r="K113" s="12"/>
    </row>
    <row r="114" spans="1:11" s="9" customFormat="1" x14ac:dyDescent="0.2">
      <c r="A114" s="13"/>
      <c r="B114" s="10"/>
      <c r="E114" s="11"/>
      <c r="H114" s="11"/>
      <c r="K114" s="12"/>
    </row>
    <row r="115" spans="1:11" s="9" customFormat="1" x14ac:dyDescent="0.2">
      <c r="A115" s="13"/>
      <c r="B115" s="10"/>
      <c r="E115" s="11"/>
      <c r="H115" s="11"/>
      <c r="K115" s="12"/>
    </row>
    <row r="116" spans="1:11" s="9" customFormat="1" x14ac:dyDescent="0.2">
      <c r="A116" s="13"/>
      <c r="B116" s="10"/>
      <c r="E116" s="11"/>
      <c r="H116" s="11"/>
      <c r="K116" s="12"/>
    </row>
    <row r="117" spans="1:11" s="9" customFormat="1" x14ac:dyDescent="0.2">
      <c r="A117" s="13"/>
      <c r="B117" s="10"/>
      <c r="E117" s="11"/>
      <c r="H117" s="11"/>
      <c r="K117" s="12"/>
    </row>
    <row r="118" spans="1:11" s="9" customFormat="1" ht="21.75" customHeight="1" x14ac:dyDescent="0.2">
      <c r="A118" s="13"/>
      <c r="B118" s="10"/>
      <c r="E118" s="11"/>
      <c r="H118" s="11"/>
      <c r="K118" s="12"/>
    </row>
    <row r="119" spans="1:11" s="9" customFormat="1" ht="38.25" customHeight="1" x14ac:dyDescent="0.2">
      <c r="A119" s="13"/>
      <c r="B119" s="10"/>
      <c r="E119" s="11"/>
      <c r="H119" s="11"/>
      <c r="K119" s="12"/>
    </row>
    <row r="120" spans="1:11" s="9" customFormat="1" x14ac:dyDescent="0.2">
      <c r="A120" s="13"/>
      <c r="B120" s="10"/>
      <c r="E120" s="11"/>
      <c r="H120" s="11"/>
      <c r="K120" s="12"/>
    </row>
    <row r="121" spans="1:11" s="9" customFormat="1" x14ac:dyDescent="0.2">
      <c r="A121" s="13"/>
      <c r="B121" s="10"/>
      <c r="E121" s="11"/>
      <c r="H121" s="11"/>
      <c r="K121" s="12"/>
    </row>
    <row r="122" spans="1:11" s="9" customFormat="1" x14ac:dyDescent="0.2">
      <c r="A122" s="13"/>
      <c r="B122" s="10"/>
      <c r="E122" s="11"/>
      <c r="H122" s="11"/>
      <c r="K122" s="12"/>
    </row>
    <row r="123" spans="1:11" s="9" customFormat="1" ht="16.5" x14ac:dyDescent="0.3">
      <c r="A123" s="13"/>
      <c r="B123" s="10"/>
      <c r="E123" s="23"/>
      <c r="H123" s="11"/>
      <c r="K123" s="12"/>
    </row>
    <row r="124" spans="1:11" s="9" customFormat="1" x14ac:dyDescent="0.2">
      <c r="A124" s="13"/>
      <c r="B124" s="10"/>
      <c r="E124" s="11"/>
      <c r="H124" s="11"/>
      <c r="K124" s="12"/>
    </row>
    <row r="125" spans="1:11" s="9" customFormat="1" x14ac:dyDescent="0.2">
      <c r="A125" s="13"/>
      <c r="B125" s="10"/>
      <c r="E125" s="11"/>
      <c r="H125" s="11"/>
      <c r="K125" s="12"/>
    </row>
    <row r="126" spans="1:11" s="9" customFormat="1" x14ac:dyDescent="0.2">
      <c r="A126" s="13"/>
      <c r="B126" s="10"/>
      <c r="E126" s="11"/>
      <c r="H126" s="11"/>
      <c r="K126" s="12"/>
    </row>
    <row r="127" spans="1:11" s="9" customFormat="1" x14ac:dyDescent="0.2">
      <c r="A127" s="13"/>
      <c r="B127" s="10"/>
      <c r="E127" s="11"/>
      <c r="H127" s="11"/>
      <c r="K127" s="12"/>
    </row>
    <row r="128" spans="1:11" s="9" customFormat="1" x14ac:dyDescent="0.2">
      <c r="A128" s="13"/>
      <c r="B128" s="10"/>
      <c r="E128" s="11"/>
      <c r="H128" s="11"/>
      <c r="K128" s="12"/>
    </row>
    <row r="129" spans="1:11" s="9" customFormat="1" x14ac:dyDescent="0.2">
      <c r="A129" s="13"/>
      <c r="B129" s="10"/>
      <c r="E129" s="11"/>
      <c r="H129" s="11"/>
      <c r="K129" s="12"/>
    </row>
    <row r="130" spans="1:11" s="9" customFormat="1" x14ac:dyDescent="0.2">
      <c r="A130" s="13"/>
      <c r="B130" s="10"/>
      <c r="E130" s="11"/>
      <c r="H130" s="11"/>
      <c r="K130" s="12"/>
    </row>
    <row r="131" spans="1:11" s="9" customFormat="1" x14ac:dyDescent="0.2">
      <c r="A131" s="13"/>
      <c r="B131" s="10"/>
      <c r="E131" s="11"/>
      <c r="H131" s="11"/>
      <c r="K131" s="12"/>
    </row>
    <row r="132" spans="1:11" s="9" customFormat="1" x14ac:dyDescent="0.2">
      <c r="A132" s="13"/>
      <c r="B132" s="10"/>
      <c r="E132" s="11"/>
      <c r="H132" s="11"/>
      <c r="K132" s="12"/>
    </row>
    <row r="133" spans="1:11" s="9" customFormat="1" x14ac:dyDescent="0.2">
      <c r="A133" s="13"/>
      <c r="B133" s="10"/>
      <c r="E133" s="11"/>
      <c r="H133" s="11"/>
      <c r="K133" s="12"/>
    </row>
    <row r="134" spans="1:11" s="9" customFormat="1" x14ac:dyDescent="0.2">
      <c r="A134" s="13"/>
      <c r="B134" s="10"/>
      <c r="E134" s="11"/>
      <c r="H134" s="11"/>
      <c r="K134" s="12"/>
    </row>
    <row r="135" spans="1:11" s="9" customFormat="1" x14ac:dyDescent="0.2">
      <c r="A135" s="13"/>
      <c r="B135" s="10"/>
      <c r="E135" s="11"/>
      <c r="H135" s="11"/>
      <c r="K135" s="12"/>
    </row>
    <row r="136" spans="1:11" s="9" customFormat="1" x14ac:dyDescent="0.2">
      <c r="A136" s="13"/>
      <c r="B136" s="10"/>
      <c r="E136" s="11"/>
      <c r="H136" s="11"/>
      <c r="K136" s="12"/>
    </row>
    <row r="137" spans="1:11" s="9" customFormat="1" x14ac:dyDescent="0.2">
      <c r="A137" s="13"/>
      <c r="B137" s="10"/>
      <c r="E137" s="11"/>
      <c r="H137" s="11"/>
      <c r="K137" s="12"/>
    </row>
    <row r="138" spans="1:11" s="9" customFormat="1" x14ac:dyDescent="0.2">
      <c r="A138" s="13"/>
      <c r="B138" s="10"/>
      <c r="E138" s="11"/>
      <c r="H138" s="11"/>
      <c r="K138" s="12"/>
    </row>
    <row r="139" spans="1:11" s="9" customFormat="1" ht="52.5" customHeight="1" x14ac:dyDescent="0.2">
      <c r="A139" s="13"/>
      <c r="B139" s="10"/>
      <c r="E139" s="11"/>
      <c r="H139" s="11"/>
      <c r="K139" s="12"/>
    </row>
    <row r="140" spans="1:11" s="9" customFormat="1" x14ac:dyDescent="0.2">
      <c r="A140" s="13"/>
      <c r="B140" s="10"/>
      <c r="E140" s="11"/>
      <c r="H140" s="11"/>
      <c r="K140" s="12"/>
    </row>
    <row r="141" spans="1:11" s="9" customFormat="1" x14ac:dyDescent="0.2">
      <c r="A141" s="13"/>
      <c r="B141" s="10"/>
      <c r="E141" s="11"/>
      <c r="H141" s="11"/>
      <c r="K141" s="12"/>
    </row>
    <row r="142" spans="1:11" s="9" customFormat="1" x14ac:dyDescent="0.2">
      <c r="A142" s="13"/>
      <c r="B142" s="10"/>
      <c r="E142" s="11"/>
      <c r="H142" s="11"/>
      <c r="K142" s="12"/>
    </row>
    <row r="143" spans="1:11" s="9" customFormat="1" x14ac:dyDescent="0.2">
      <c r="A143" s="13"/>
      <c r="B143" s="10"/>
      <c r="E143" s="11"/>
      <c r="H143" s="11"/>
      <c r="K143" s="12"/>
    </row>
    <row r="144" spans="1:11" s="9" customFormat="1" x14ac:dyDescent="0.2">
      <c r="A144" s="13"/>
      <c r="B144" s="10"/>
      <c r="E144" s="11"/>
      <c r="H144" s="11"/>
      <c r="K144" s="12"/>
    </row>
    <row r="145" spans="1:11" s="9" customFormat="1" x14ac:dyDescent="0.2">
      <c r="A145" s="13"/>
      <c r="B145" s="10"/>
      <c r="E145" s="11"/>
      <c r="H145" s="11"/>
      <c r="K145" s="12"/>
    </row>
    <row r="146" spans="1:11" s="9" customFormat="1" x14ac:dyDescent="0.2">
      <c r="A146" s="13"/>
      <c r="B146" s="10"/>
      <c r="E146" s="11"/>
      <c r="H146" s="11"/>
      <c r="K146" s="12"/>
    </row>
    <row r="147" spans="1:11" s="9" customFormat="1" x14ac:dyDescent="0.2">
      <c r="A147" s="13"/>
      <c r="B147" s="10"/>
      <c r="E147" s="11"/>
      <c r="H147" s="11"/>
      <c r="K147" s="12"/>
    </row>
    <row r="148" spans="1:11" s="9" customFormat="1" x14ac:dyDescent="0.2">
      <c r="A148" s="13"/>
      <c r="B148" s="10"/>
      <c r="E148" s="11"/>
      <c r="H148" s="11"/>
      <c r="K148" s="12"/>
    </row>
    <row r="149" spans="1:11" s="9" customFormat="1" x14ac:dyDescent="0.2">
      <c r="A149" s="13"/>
      <c r="B149" s="10"/>
      <c r="E149" s="11"/>
      <c r="H149" s="11"/>
      <c r="K149" s="12"/>
    </row>
    <row r="150" spans="1:11" s="9" customFormat="1" x14ac:dyDescent="0.2">
      <c r="A150" s="13"/>
      <c r="B150" s="10"/>
      <c r="E150" s="11"/>
      <c r="H150" s="11"/>
      <c r="K150" s="12"/>
    </row>
    <row r="151" spans="1:11" s="9" customFormat="1" x14ac:dyDescent="0.2">
      <c r="A151" s="13"/>
      <c r="B151" s="10"/>
      <c r="E151" s="11"/>
      <c r="H151" s="11"/>
      <c r="K151" s="12"/>
    </row>
    <row r="152" spans="1:11" s="9" customFormat="1" x14ac:dyDescent="0.2">
      <c r="A152" s="13"/>
      <c r="B152" s="10"/>
      <c r="E152" s="11"/>
      <c r="H152" s="11"/>
      <c r="K152" s="12"/>
    </row>
    <row r="153" spans="1:11" s="9" customFormat="1" x14ac:dyDescent="0.2">
      <c r="A153" s="13"/>
      <c r="B153" s="10"/>
      <c r="E153" s="11"/>
      <c r="H153" s="11"/>
      <c r="K153" s="12"/>
    </row>
    <row r="154" spans="1:11" s="9" customFormat="1" x14ac:dyDescent="0.2">
      <c r="A154" s="13"/>
      <c r="B154" s="10"/>
      <c r="E154" s="11"/>
      <c r="H154" s="11"/>
      <c r="K154" s="12"/>
    </row>
    <row r="155" spans="1:11" s="9" customFormat="1" x14ac:dyDescent="0.2">
      <c r="A155" s="13"/>
      <c r="B155" s="10"/>
      <c r="E155" s="11"/>
      <c r="H155" s="11"/>
      <c r="K155" s="12"/>
    </row>
    <row r="156" spans="1:11" s="9" customFormat="1" x14ac:dyDescent="0.2">
      <c r="A156" s="13"/>
      <c r="B156" s="10"/>
      <c r="E156" s="11"/>
      <c r="H156" s="11"/>
      <c r="K156" s="12"/>
    </row>
    <row r="157" spans="1:11" s="9" customFormat="1" x14ac:dyDescent="0.2">
      <c r="A157" s="13"/>
      <c r="B157" s="10"/>
      <c r="E157" s="11"/>
      <c r="H157" s="11"/>
      <c r="K157" s="12"/>
    </row>
    <row r="158" spans="1:11" s="9" customFormat="1" x14ac:dyDescent="0.2">
      <c r="A158" s="13"/>
      <c r="B158" s="10"/>
      <c r="E158" s="11"/>
      <c r="H158" s="11"/>
      <c r="K158" s="12"/>
    </row>
    <row r="159" spans="1:11" s="9" customFormat="1" x14ac:dyDescent="0.2">
      <c r="A159" s="13"/>
      <c r="B159" s="10"/>
      <c r="E159" s="11"/>
      <c r="H159" s="11"/>
      <c r="K159" s="12"/>
    </row>
    <row r="160" spans="1:11" s="9" customFormat="1" x14ac:dyDescent="0.2">
      <c r="A160" s="13"/>
      <c r="B160" s="10"/>
      <c r="E160" s="11"/>
      <c r="H160" s="11"/>
      <c r="K160" s="12"/>
    </row>
    <row r="161" spans="1:11" s="9" customFormat="1" x14ac:dyDescent="0.2">
      <c r="A161" s="13"/>
      <c r="B161" s="10"/>
      <c r="E161" s="11"/>
      <c r="H161" s="11"/>
      <c r="K161" s="12"/>
    </row>
    <row r="162" spans="1:11" s="9" customFormat="1" x14ac:dyDescent="0.2">
      <c r="A162" s="13"/>
      <c r="B162" s="10"/>
      <c r="E162" s="11"/>
      <c r="H162" s="11"/>
      <c r="K162" s="12"/>
    </row>
    <row r="163" spans="1:11" s="9" customFormat="1" x14ac:dyDescent="0.2">
      <c r="A163" s="13"/>
      <c r="B163" s="10"/>
      <c r="E163" s="11"/>
      <c r="H163" s="11"/>
      <c r="K163" s="12"/>
    </row>
    <row r="164" spans="1:11" s="9" customFormat="1" x14ac:dyDescent="0.2">
      <c r="A164" s="13"/>
      <c r="B164" s="10"/>
      <c r="E164" s="11"/>
      <c r="H164" s="11"/>
      <c r="K164" s="12"/>
    </row>
    <row r="165" spans="1:11" s="9" customFormat="1" x14ac:dyDescent="0.2">
      <c r="A165" s="13"/>
      <c r="B165" s="10"/>
      <c r="E165" s="11"/>
      <c r="H165" s="11"/>
      <c r="K165" s="12"/>
    </row>
    <row r="166" spans="1:11" s="9" customFormat="1" x14ac:dyDescent="0.2">
      <c r="A166" s="13"/>
      <c r="B166" s="10"/>
      <c r="E166" s="11"/>
      <c r="H166" s="11"/>
      <c r="K166" s="12"/>
    </row>
    <row r="167" spans="1:11" s="9" customFormat="1" ht="39" customHeight="1" x14ac:dyDescent="0.2">
      <c r="A167" s="13"/>
      <c r="B167" s="10"/>
      <c r="E167" s="11"/>
      <c r="H167" s="11"/>
      <c r="K167" s="12"/>
    </row>
    <row r="168" spans="1:11" s="9" customFormat="1" ht="39" customHeight="1" x14ac:dyDescent="0.2">
      <c r="A168" s="13"/>
      <c r="B168" s="10"/>
      <c r="E168" s="11"/>
      <c r="H168" s="11"/>
      <c r="K168" s="12"/>
    </row>
    <row r="169" spans="1:11" s="9" customFormat="1" ht="39" customHeight="1" x14ac:dyDescent="0.2">
      <c r="A169" s="13"/>
      <c r="B169" s="10"/>
      <c r="E169" s="11"/>
      <c r="H169" s="11"/>
      <c r="K169" s="12"/>
    </row>
    <row r="170" spans="1:11" s="9" customFormat="1" ht="39" customHeight="1" x14ac:dyDescent="0.2">
      <c r="A170" s="13"/>
      <c r="B170" s="10"/>
      <c r="E170" s="11"/>
      <c r="H170" s="11"/>
      <c r="K170" s="12"/>
    </row>
    <row r="171" spans="1:11" s="9" customFormat="1" x14ac:dyDescent="0.2">
      <c r="A171" s="13"/>
      <c r="B171" s="10"/>
      <c r="E171" s="11"/>
      <c r="H171" s="11"/>
      <c r="K171" s="12"/>
    </row>
    <row r="172" spans="1:11" s="9" customFormat="1" x14ac:dyDescent="0.2">
      <c r="A172" s="13"/>
      <c r="B172" s="10"/>
      <c r="E172" s="11"/>
      <c r="H172" s="11"/>
      <c r="K172" s="12"/>
    </row>
    <row r="173" spans="1:11" s="9" customFormat="1" x14ac:dyDescent="0.2">
      <c r="A173" s="13"/>
      <c r="B173" s="10"/>
      <c r="E173" s="11"/>
      <c r="H173" s="11"/>
      <c r="K173" s="12"/>
    </row>
    <row r="174" spans="1:11" s="9" customFormat="1" x14ac:dyDescent="0.2">
      <c r="A174" s="13"/>
      <c r="B174" s="10"/>
      <c r="E174" s="11"/>
      <c r="H174" s="11"/>
      <c r="K174" s="12"/>
    </row>
    <row r="175" spans="1:11" s="9" customFormat="1" x14ac:dyDescent="0.2">
      <c r="A175" s="13"/>
      <c r="B175" s="10"/>
      <c r="E175" s="11"/>
      <c r="H175" s="11"/>
      <c r="K175" s="12"/>
    </row>
    <row r="176" spans="1:11" s="9" customFormat="1" x14ac:dyDescent="0.2">
      <c r="A176" s="13"/>
      <c r="B176" s="10"/>
      <c r="E176" s="11"/>
      <c r="H176" s="11"/>
      <c r="K176" s="12"/>
    </row>
    <row r="177" spans="1:11" s="9" customFormat="1" x14ac:dyDescent="0.2">
      <c r="A177" s="13"/>
      <c r="B177" s="10"/>
      <c r="E177" s="11"/>
      <c r="H177" s="11"/>
      <c r="K177" s="12"/>
    </row>
    <row r="178" spans="1:11" s="9" customFormat="1" x14ac:dyDescent="0.2">
      <c r="A178" s="13"/>
      <c r="B178" s="10"/>
      <c r="E178" s="11"/>
      <c r="H178" s="11"/>
      <c r="K178" s="12"/>
    </row>
    <row r="179" spans="1:11" s="9" customFormat="1" x14ac:dyDescent="0.2">
      <c r="A179" s="13"/>
      <c r="B179" s="10"/>
      <c r="E179" s="11"/>
      <c r="H179" s="11"/>
      <c r="K179" s="12"/>
    </row>
    <row r="180" spans="1:11" s="9" customFormat="1" x14ac:dyDescent="0.2">
      <c r="A180" s="13"/>
      <c r="B180" s="10"/>
      <c r="E180" s="11"/>
      <c r="H180" s="11"/>
      <c r="K180" s="12"/>
    </row>
    <row r="181" spans="1:11" s="9" customFormat="1" x14ac:dyDescent="0.2">
      <c r="A181" s="13"/>
      <c r="B181" s="10"/>
      <c r="E181" s="11"/>
      <c r="H181" s="11"/>
      <c r="K181" s="12"/>
    </row>
    <row r="182" spans="1:11" s="9" customFormat="1" x14ac:dyDescent="0.2">
      <c r="A182" s="13"/>
      <c r="B182" s="10"/>
      <c r="E182" s="11"/>
      <c r="H182" s="11"/>
      <c r="K182" s="12"/>
    </row>
    <row r="183" spans="1:11" s="9" customFormat="1" x14ac:dyDescent="0.2">
      <c r="A183" s="13"/>
      <c r="B183" s="10"/>
      <c r="E183" s="11"/>
      <c r="H183" s="11"/>
      <c r="K183" s="12"/>
    </row>
    <row r="184" spans="1:11" s="9" customFormat="1" x14ac:dyDescent="0.2">
      <c r="A184" s="13"/>
      <c r="B184" s="10"/>
      <c r="E184" s="11"/>
      <c r="H184" s="11"/>
      <c r="K184" s="12"/>
    </row>
    <row r="185" spans="1:11" s="9" customFormat="1" x14ac:dyDescent="0.2">
      <c r="A185" s="13"/>
      <c r="B185" s="10"/>
      <c r="E185" s="11"/>
      <c r="H185" s="11"/>
      <c r="K185" s="12"/>
    </row>
    <row r="186" spans="1:11" s="9" customFormat="1" x14ac:dyDescent="0.2">
      <c r="A186" s="13"/>
      <c r="B186" s="10"/>
      <c r="E186" s="11"/>
      <c r="H186" s="11"/>
      <c r="K186" s="12"/>
    </row>
    <row r="187" spans="1:11" s="9" customFormat="1" x14ac:dyDescent="0.2">
      <c r="A187" s="13"/>
      <c r="B187" s="10"/>
      <c r="E187" s="11"/>
      <c r="H187" s="11"/>
      <c r="K187" s="12"/>
    </row>
    <row r="188" spans="1:11" s="9" customFormat="1" x14ac:dyDescent="0.2">
      <c r="A188" s="13"/>
      <c r="B188" s="10"/>
      <c r="E188" s="11"/>
      <c r="H188" s="11"/>
      <c r="K188" s="12"/>
    </row>
    <row r="189" spans="1:11" s="9" customFormat="1" x14ac:dyDescent="0.2">
      <c r="A189" s="13"/>
      <c r="B189" s="10"/>
      <c r="E189" s="11"/>
      <c r="H189" s="11"/>
      <c r="K189" s="12"/>
    </row>
    <row r="190" spans="1:11" s="9" customFormat="1" x14ac:dyDescent="0.2">
      <c r="A190" s="13"/>
      <c r="B190" s="10"/>
      <c r="E190" s="11"/>
      <c r="H190" s="11"/>
      <c r="K190" s="12"/>
    </row>
    <row r="191" spans="1:11" s="9" customFormat="1" x14ac:dyDescent="0.2">
      <c r="A191" s="13"/>
      <c r="B191" s="10"/>
      <c r="E191" s="11"/>
      <c r="H191" s="11"/>
      <c r="K191" s="12"/>
    </row>
    <row r="192" spans="1:11" s="9" customFormat="1" x14ac:dyDescent="0.2">
      <c r="A192" s="13"/>
      <c r="B192" s="10"/>
      <c r="E192" s="11"/>
      <c r="H192" s="11"/>
      <c r="K192" s="12"/>
    </row>
    <row r="193" spans="1:11" s="9" customFormat="1" x14ac:dyDescent="0.2">
      <c r="A193" s="13"/>
      <c r="B193" s="10"/>
      <c r="H193" s="11"/>
      <c r="K193" s="12"/>
    </row>
    <row r="194" spans="1:11" s="9" customFormat="1" x14ac:dyDescent="0.2">
      <c r="A194" s="13"/>
      <c r="B194" s="10"/>
      <c r="E194" s="11"/>
      <c r="H194" s="11"/>
      <c r="K194" s="12"/>
    </row>
    <row r="195" spans="1:11" s="9" customFormat="1" x14ac:dyDescent="0.2">
      <c r="A195" s="13"/>
      <c r="B195" s="10"/>
      <c r="E195" s="11"/>
      <c r="H195" s="11"/>
      <c r="K195" s="12"/>
    </row>
    <row r="196" spans="1:11" s="9" customFormat="1" x14ac:dyDescent="0.2">
      <c r="A196" s="13"/>
      <c r="B196" s="10"/>
      <c r="E196" s="11"/>
      <c r="H196" s="11"/>
      <c r="K196" s="12"/>
    </row>
    <row r="197" spans="1:11" s="9" customFormat="1" x14ac:dyDescent="0.2">
      <c r="A197" s="13"/>
      <c r="B197" s="10"/>
      <c r="E197" s="11"/>
      <c r="H197" s="11"/>
      <c r="K197" s="12"/>
    </row>
    <row r="198" spans="1:11" s="9" customFormat="1" ht="100.5" customHeight="1" x14ac:dyDescent="0.2">
      <c r="A198" s="13"/>
      <c r="B198" s="10"/>
      <c r="E198" s="11"/>
      <c r="H198" s="11"/>
      <c r="K198" s="12"/>
    </row>
    <row r="199" spans="1:11" s="9" customFormat="1" x14ac:dyDescent="0.2">
      <c r="A199" s="13"/>
      <c r="B199" s="10"/>
      <c r="E199" s="11"/>
      <c r="H199" s="11"/>
      <c r="K199" s="12"/>
    </row>
    <row r="200" spans="1:11" s="9" customFormat="1" x14ac:dyDescent="0.2">
      <c r="A200" s="13"/>
      <c r="B200" s="10"/>
      <c r="E200" s="11"/>
      <c r="H200" s="11"/>
      <c r="K200" s="12"/>
    </row>
    <row r="201" spans="1:11" s="9" customFormat="1" x14ac:dyDescent="0.2">
      <c r="A201" s="13"/>
      <c r="B201" s="10"/>
      <c r="E201" s="11"/>
      <c r="H201" s="11"/>
      <c r="K201" s="12"/>
    </row>
    <row r="202" spans="1:11" s="9" customFormat="1" x14ac:dyDescent="0.2">
      <c r="A202" s="13"/>
      <c r="B202" s="10"/>
      <c r="E202" s="11"/>
      <c r="H202" s="11"/>
      <c r="K202" s="12"/>
    </row>
    <row r="203" spans="1:11" s="9" customFormat="1" x14ac:dyDescent="0.2">
      <c r="A203" s="13"/>
      <c r="B203" s="10"/>
      <c r="E203" s="11"/>
      <c r="H203" s="11"/>
      <c r="K203" s="12"/>
    </row>
    <row r="204" spans="1:11" s="9" customFormat="1" x14ac:dyDescent="0.2">
      <c r="A204" s="13"/>
      <c r="B204" s="10"/>
      <c r="E204" s="11"/>
      <c r="H204" s="11"/>
      <c r="K204" s="12"/>
    </row>
    <row r="205" spans="1:11" s="9" customFormat="1" x14ac:dyDescent="0.2">
      <c r="A205" s="13"/>
      <c r="B205" s="10"/>
      <c r="E205" s="11"/>
      <c r="H205" s="11"/>
      <c r="K205" s="12"/>
    </row>
    <row r="206" spans="1:11" s="9" customFormat="1" x14ac:dyDescent="0.2">
      <c r="A206" s="13"/>
      <c r="B206" s="10"/>
      <c r="E206" s="11"/>
      <c r="H206" s="11"/>
      <c r="K206" s="12"/>
    </row>
    <row r="207" spans="1:11" s="9" customFormat="1" x14ac:dyDescent="0.2">
      <c r="A207" s="13"/>
      <c r="B207" s="10"/>
      <c r="E207" s="11"/>
      <c r="H207" s="11"/>
      <c r="K207" s="12"/>
    </row>
    <row r="208" spans="1:11" s="9" customFormat="1" x14ac:dyDescent="0.2">
      <c r="A208" s="13"/>
      <c r="B208" s="10"/>
      <c r="E208" s="11"/>
      <c r="H208" s="11"/>
      <c r="K208" s="12"/>
    </row>
    <row r="209" spans="1:11" s="9" customFormat="1" x14ac:dyDescent="0.2">
      <c r="A209" s="13"/>
      <c r="B209" s="10"/>
      <c r="E209" s="11"/>
      <c r="H209" s="11"/>
      <c r="K209" s="12"/>
    </row>
    <row r="210" spans="1:11" s="9" customFormat="1" x14ac:dyDescent="0.2">
      <c r="A210" s="13"/>
      <c r="B210" s="10"/>
      <c r="E210" s="11"/>
      <c r="H210" s="11"/>
      <c r="K210" s="12"/>
    </row>
    <row r="211" spans="1:11" s="9" customFormat="1" x14ac:dyDescent="0.2">
      <c r="A211" s="13"/>
      <c r="B211" s="10"/>
      <c r="E211" s="11"/>
      <c r="H211" s="11"/>
      <c r="K211" s="12"/>
    </row>
    <row r="212" spans="1:11" s="9" customFormat="1" ht="52.5" customHeight="1" x14ac:dyDescent="0.2">
      <c r="A212" s="13"/>
      <c r="B212" s="10"/>
      <c r="E212" s="11"/>
      <c r="H212" s="11"/>
      <c r="K212" s="12"/>
    </row>
    <row r="213" spans="1:11" s="9" customFormat="1" x14ac:dyDescent="0.2">
      <c r="A213" s="13"/>
      <c r="B213" s="10"/>
      <c r="E213" s="11"/>
      <c r="H213" s="11"/>
      <c r="K213" s="12"/>
    </row>
    <row r="214" spans="1:11" s="9" customFormat="1" x14ac:dyDescent="0.2">
      <c r="A214" s="13"/>
      <c r="B214" s="10"/>
      <c r="E214" s="11"/>
      <c r="H214" s="11"/>
      <c r="K214" s="12"/>
    </row>
    <row r="215" spans="1:11" s="9" customFormat="1" x14ac:dyDescent="0.2">
      <c r="A215" s="13"/>
      <c r="B215" s="10"/>
      <c r="E215" s="11"/>
      <c r="H215" s="11"/>
      <c r="K215" s="12"/>
    </row>
    <row r="216" spans="1:11" s="9" customFormat="1" x14ac:dyDescent="0.2">
      <c r="A216" s="13"/>
      <c r="B216" s="10"/>
      <c r="E216" s="11"/>
      <c r="H216" s="11"/>
      <c r="K216" s="12"/>
    </row>
    <row r="217" spans="1:11" s="9" customFormat="1" x14ac:dyDescent="0.2">
      <c r="A217" s="13"/>
      <c r="B217" s="10"/>
      <c r="E217" s="11"/>
      <c r="H217" s="11"/>
      <c r="K217" s="12"/>
    </row>
    <row r="218" spans="1:11" s="9" customFormat="1" x14ac:dyDescent="0.2">
      <c r="A218" s="13"/>
      <c r="B218" s="10"/>
      <c r="E218" s="11"/>
      <c r="H218" s="11"/>
      <c r="K218" s="12"/>
    </row>
    <row r="219" spans="1:11" s="9" customFormat="1" x14ac:dyDescent="0.2">
      <c r="A219" s="13"/>
      <c r="B219" s="10"/>
      <c r="E219" s="11"/>
      <c r="H219" s="11"/>
      <c r="K219" s="12"/>
    </row>
    <row r="220" spans="1:11" s="9" customFormat="1" x14ac:dyDescent="0.2">
      <c r="A220" s="13"/>
      <c r="B220" s="10"/>
      <c r="E220" s="11"/>
      <c r="H220" s="11"/>
      <c r="K220" s="12"/>
    </row>
    <row r="221" spans="1:11" s="9" customFormat="1" x14ac:dyDescent="0.2">
      <c r="A221" s="13"/>
      <c r="B221" s="10"/>
      <c r="E221" s="11"/>
      <c r="H221" s="11"/>
      <c r="K221" s="12"/>
    </row>
    <row r="222" spans="1:11" s="9" customFormat="1" x14ac:dyDescent="0.2">
      <c r="A222" s="13"/>
      <c r="B222" s="10"/>
      <c r="E222" s="11"/>
      <c r="H222" s="11"/>
      <c r="K222" s="12"/>
    </row>
    <row r="223" spans="1:11" s="9" customFormat="1" x14ac:dyDescent="0.2">
      <c r="A223" s="13"/>
      <c r="B223" s="10"/>
      <c r="E223" s="11"/>
      <c r="H223" s="11"/>
      <c r="K223" s="12"/>
    </row>
    <row r="224" spans="1:11" s="9" customFormat="1" x14ac:dyDescent="0.2">
      <c r="A224" s="13"/>
      <c r="B224" s="10"/>
      <c r="E224" s="11"/>
      <c r="H224" s="11"/>
      <c r="K224" s="12"/>
    </row>
    <row r="225" spans="1:11" s="9" customFormat="1" ht="23.25" customHeight="1" x14ac:dyDescent="0.2">
      <c r="A225" s="13"/>
      <c r="B225" s="10"/>
      <c r="E225" s="11"/>
      <c r="H225" s="11"/>
      <c r="K225" s="12"/>
    </row>
    <row r="226" spans="1:11" s="9" customFormat="1" x14ac:dyDescent="0.2">
      <c r="A226" s="13"/>
      <c r="B226" s="10"/>
      <c r="E226" s="11"/>
      <c r="H226" s="11"/>
      <c r="K226" s="12"/>
    </row>
    <row r="227" spans="1:11" s="9" customFormat="1" x14ac:dyDescent="0.2">
      <c r="A227" s="13"/>
      <c r="B227" s="10"/>
      <c r="E227" s="11"/>
      <c r="H227" s="11"/>
      <c r="K227" s="12"/>
    </row>
    <row r="228" spans="1:11" s="9" customFormat="1" x14ac:dyDescent="0.2">
      <c r="A228" s="13"/>
      <c r="B228" s="10"/>
      <c r="E228" s="11"/>
      <c r="H228" s="11"/>
      <c r="K228" s="12"/>
    </row>
    <row r="229" spans="1:11" s="9" customFormat="1" x14ac:dyDescent="0.2">
      <c r="A229" s="13"/>
      <c r="B229" s="10"/>
      <c r="E229" s="11"/>
      <c r="H229" s="11"/>
      <c r="K229" s="12"/>
    </row>
    <row r="230" spans="1:11" s="9" customFormat="1" x14ac:dyDescent="0.2">
      <c r="A230" s="13"/>
      <c r="B230" s="10"/>
      <c r="E230" s="11"/>
      <c r="H230" s="11"/>
      <c r="K230" s="12"/>
    </row>
    <row r="231" spans="1:11" s="9" customFormat="1" x14ac:dyDescent="0.2">
      <c r="A231" s="13"/>
      <c r="B231" s="10"/>
      <c r="E231" s="11"/>
      <c r="H231" s="11"/>
      <c r="K231" s="12"/>
    </row>
    <row r="232" spans="1:11" s="9" customFormat="1" x14ac:dyDescent="0.2">
      <c r="A232" s="13"/>
      <c r="B232" s="10"/>
      <c r="E232" s="11"/>
      <c r="H232" s="11"/>
      <c r="K232" s="12"/>
    </row>
    <row r="233" spans="1:11" s="9" customFormat="1" x14ac:dyDescent="0.2">
      <c r="A233" s="13"/>
      <c r="B233" s="10"/>
      <c r="E233" s="11"/>
      <c r="H233" s="11"/>
      <c r="K233" s="12"/>
    </row>
    <row r="234" spans="1:11" s="9" customFormat="1" x14ac:dyDescent="0.2">
      <c r="A234" s="13"/>
      <c r="B234" s="10"/>
      <c r="E234" s="11"/>
      <c r="H234" s="11"/>
      <c r="K234" s="12"/>
    </row>
    <row r="235" spans="1:11" s="9" customFormat="1" x14ac:dyDescent="0.2">
      <c r="A235" s="13"/>
      <c r="B235" s="10"/>
      <c r="E235" s="11"/>
      <c r="H235" s="11"/>
      <c r="K235" s="12"/>
    </row>
    <row r="236" spans="1:11" s="9" customFormat="1" x14ac:dyDescent="0.2">
      <c r="A236" s="13"/>
      <c r="B236" s="10"/>
      <c r="E236" s="11"/>
      <c r="H236" s="11"/>
      <c r="K236" s="12"/>
    </row>
    <row r="237" spans="1:11" s="9" customFormat="1" x14ac:dyDescent="0.2">
      <c r="A237" s="13"/>
      <c r="B237" s="10"/>
      <c r="E237" s="11"/>
      <c r="H237" s="11"/>
      <c r="K237" s="12"/>
    </row>
    <row r="238" spans="1:11" s="9" customFormat="1" x14ac:dyDescent="0.2">
      <c r="A238" s="13"/>
      <c r="B238" s="10"/>
      <c r="E238" s="11"/>
      <c r="H238" s="11"/>
      <c r="K238" s="12"/>
    </row>
    <row r="239" spans="1:11" s="9" customFormat="1" x14ac:dyDescent="0.2">
      <c r="A239" s="13"/>
      <c r="B239" s="10"/>
      <c r="E239" s="11"/>
      <c r="H239" s="11"/>
      <c r="K239" s="12"/>
    </row>
    <row r="240" spans="1:11" s="9" customFormat="1" x14ac:dyDescent="0.2">
      <c r="A240" s="13"/>
      <c r="B240" s="10"/>
      <c r="E240" s="11"/>
      <c r="H240" s="11"/>
      <c r="K240" s="12"/>
    </row>
    <row r="241" spans="1:11" s="9" customFormat="1" x14ac:dyDescent="0.2">
      <c r="A241" s="13"/>
      <c r="B241" s="10"/>
      <c r="E241" s="11"/>
      <c r="H241" s="11"/>
      <c r="K241" s="12"/>
    </row>
    <row r="242" spans="1:11" s="9" customFormat="1" x14ac:dyDescent="0.2">
      <c r="A242" s="13"/>
      <c r="B242" s="10"/>
      <c r="E242" s="11"/>
      <c r="H242" s="11"/>
      <c r="K242" s="12"/>
    </row>
    <row r="243" spans="1:11" s="9" customFormat="1" x14ac:dyDescent="0.2">
      <c r="A243" s="13"/>
      <c r="B243" s="10"/>
      <c r="E243" s="11"/>
      <c r="H243" s="11"/>
      <c r="K243" s="12"/>
    </row>
    <row r="244" spans="1:11" s="9" customFormat="1" x14ac:dyDescent="0.2">
      <c r="A244" s="13"/>
      <c r="B244" s="10"/>
      <c r="E244" s="11"/>
      <c r="H244" s="11"/>
      <c r="K244" s="12"/>
    </row>
    <row r="245" spans="1:11" s="9" customFormat="1" x14ac:dyDescent="0.2">
      <c r="A245" s="13"/>
      <c r="B245" s="10"/>
      <c r="E245" s="11"/>
      <c r="H245" s="11"/>
      <c r="K245" s="12"/>
    </row>
    <row r="246" spans="1:11" s="9" customFormat="1" x14ac:dyDescent="0.2">
      <c r="A246" s="13"/>
      <c r="B246" s="10"/>
      <c r="E246" s="11"/>
      <c r="H246" s="11"/>
      <c r="K246" s="12"/>
    </row>
    <row r="247" spans="1:11" s="9" customFormat="1" x14ac:dyDescent="0.2">
      <c r="A247" s="13"/>
      <c r="B247" s="10"/>
      <c r="E247" s="11"/>
      <c r="H247" s="11"/>
      <c r="K247" s="12"/>
    </row>
    <row r="248" spans="1:11" s="9" customFormat="1" x14ac:dyDescent="0.2">
      <c r="A248" s="13"/>
      <c r="B248" s="10"/>
      <c r="E248" s="11"/>
      <c r="H248" s="11"/>
      <c r="K248" s="12"/>
    </row>
    <row r="249" spans="1:11" s="9" customFormat="1" x14ac:dyDescent="0.2">
      <c r="A249" s="13"/>
      <c r="B249" s="10"/>
      <c r="E249" s="11"/>
      <c r="H249" s="11"/>
      <c r="K249" s="12"/>
    </row>
    <row r="250" spans="1:11" s="9" customFormat="1" x14ac:dyDescent="0.2">
      <c r="A250" s="13"/>
      <c r="B250" s="10"/>
      <c r="E250" s="11"/>
      <c r="H250" s="11"/>
      <c r="K250" s="12"/>
    </row>
    <row r="251" spans="1:11" s="9" customFormat="1" x14ac:dyDescent="0.2">
      <c r="A251" s="13"/>
      <c r="B251" s="10"/>
      <c r="E251" s="11"/>
      <c r="H251" s="11"/>
      <c r="K251" s="12"/>
    </row>
    <row r="252" spans="1:11" s="9" customFormat="1" x14ac:dyDescent="0.2">
      <c r="A252" s="13"/>
      <c r="B252" s="10"/>
      <c r="E252" s="11"/>
      <c r="H252" s="11"/>
      <c r="K252" s="12"/>
    </row>
    <row r="253" spans="1:11" s="9" customFormat="1" x14ac:dyDescent="0.2">
      <c r="A253" s="13"/>
      <c r="B253" s="10"/>
      <c r="E253" s="11"/>
      <c r="H253" s="11"/>
      <c r="K253" s="12"/>
    </row>
    <row r="254" spans="1:11" s="9" customFormat="1" x14ac:dyDescent="0.2">
      <c r="A254" s="13"/>
      <c r="B254" s="10"/>
      <c r="E254" s="11"/>
      <c r="H254" s="11"/>
      <c r="K254" s="12"/>
    </row>
    <row r="255" spans="1:11" s="9" customFormat="1" x14ac:dyDescent="0.2">
      <c r="A255" s="13"/>
      <c r="B255" s="10"/>
      <c r="E255" s="11"/>
      <c r="H255" s="11"/>
      <c r="K255" s="12"/>
    </row>
    <row r="256" spans="1:11" s="9" customFormat="1" x14ac:dyDescent="0.2">
      <c r="A256" s="13"/>
      <c r="B256" s="10"/>
      <c r="E256" s="11"/>
      <c r="H256" s="11"/>
      <c r="K256" s="12"/>
    </row>
    <row r="257" spans="1:11" s="9" customFormat="1" x14ac:dyDescent="0.2">
      <c r="A257" s="13"/>
      <c r="B257" s="10"/>
      <c r="E257" s="11"/>
      <c r="H257" s="11"/>
      <c r="K257" s="12"/>
    </row>
    <row r="258" spans="1:11" s="9" customFormat="1" x14ac:dyDescent="0.2">
      <c r="A258" s="13"/>
      <c r="B258" s="10"/>
      <c r="E258" s="11"/>
      <c r="H258" s="11"/>
      <c r="K258" s="12"/>
    </row>
    <row r="259" spans="1:11" s="9" customFormat="1" x14ac:dyDescent="0.2">
      <c r="A259" s="13"/>
      <c r="B259" s="10"/>
      <c r="E259" s="11"/>
      <c r="H259" s="11"/>
      <c r="K259" s="12"/>
    </row>
    <row r="260" spans="1:11" s="9" customFormat="1" x14ac:dyDescent="0.2">
      <c r="A260" s="13"/>
      <c r="B260" s="10"/>
      <c r="E260" s="11"/>
      <c r="H260" s="11"/>
      <c r="K260" s="12"/>
    </row>
    <row r="261" spans="1:11" s="9" customFormat="1" x14ac:dyDescent="0.2">
      <c r="A261" s="13"/>
      <c r="B261" s="10"/>
      <c r="E261" s="11"/>
      <c r="H261" s="11"/>
      <c r="K261" s="12"/>
    </row>
    <row r="262" spans="1:11" s="9" customFormat="1" x14ac:dyDescent="0.2">
      <c r="A262" s="13"/>
      <c r="B262" s="10"/>
      <c r="E262" s="11"/>
      <c r="H262" s="11"/>
      <c r="K262" s="12"/>
    </row>
    <row r="263" spans="1:11" s="9" customFormat="1" x14ac:dyDescent="0.2">
      <c r="A263" s="13"/>
      <c r="B263" s="10"/>
      <c r="E263" s="11"/>
      <c r="H263" s="11"/>
      <c r="K263" s="12"/>
    </row>
    <row r="264" spans="1:11" s="9" customFormat="1" x14ac:dyDescent="0.2">
      <c r="A264" s="13"/>
      <c r="B264" s="10"/>
      <c r="E264" s="11"/>
      <c r="H264" s="11"/>
      <c r="K264" s="12"/>
    </row>
    <row r="265" spans="1:11" s="9" customFormat="1" x14ac:dyDescent="0.2">
      <c r="A265" s="13"/>
      <c r="B265" s="10"/>
      <c r="E265" s="11"/>
      <c r="H265" s="11"/>
      <c r="K265" s="12"/>
    </row>
    <row r="266" spans="1:11" s="9" customFormat="1" x14ac:dyDescent="0.2">
      <c r="A266" s="13"/>
      <c r="B266" s="10"/>
      <c r="E266" s="11"/>
      <c r="H266" s="11"/>
      <c r="K266" s="12"/>
    </row>
    <row r="267" spans="1:11" s="9" customFormat="1" x14ac:dyDescent="0.2">
      <c r="A267" s="13"/>
      <c r="B267" s="10"/>
      <c r="E267" s="11"/>
      <c r="H267" s="11"/>
      <c r="K267" s="12"/>
    </row>
    <row r="268" spans="1:11" s="9" customFormat="1" x14ac:dyDescent="0.2">
      <c r="A268" s="13"/>
      <c r="B268" s="10"/>
      <c r="E268" s="11"/>
      <c r="H268" s="11"/>
      <c r="K268" s="12"/>
    </row>
    <row r="269" spans="1:11" s="9" customFormat="1" x14ac:dyDescent="0.2">
      <c r="A269" s="13"/>
      <c r="B269" s="10"/>
      <c r="E269" s="11"/>
      <c r="H269" s="11"/>
      <c r="K269" s="12"/>
    </row>
    <row r="270" spans="1:11" s="9" customFormat="1" x14ac:dyDescent="0.2">
      <c r="A270" s="13"/>
      <c r="B270" s="10"/>
      <c r="E270" s="11"/>
      <c r="H270" s="11"/>
      <c r="K270" s="12"/>
    </row>
    <row r="271" spans="1:11" s="9" customFormat="1" x14ac:dyDescent="0.2">
      <c r="A271" s="13"/>
      <c r="B271" s="10"/>
      <c r="E271" s="11"/>
      <c r="H271" s="11"/>
      <c r="K271" s="12"/>
    </row>
    <row r="272" spans="1:11" s="9" customFormat="1" x14ac:dyDescent="0.2">
      <c r="A272" s="13"/>
      <c r="B272" s="10"/>
      <c r="E272" s="11"/>
      <c r="H272" s="11"/>
      <c r="K272" s="12"/>
    </row>
    <row r="273" spans="1:11" s="9" customFormat="1" x14ac:dyDescent="0.2">
      <c r="A273" s="13"/>
      <c r="B273" s="10"/>
      <c r="E273" s="11"/>
      <c r="H273" s="11"/>
      <c r="K273" s="12"/>
    </row>
    <row r="274" spans="1:11" s="9" customFormat="1" x14ac:dyDescent="0.2">
      <c r="A274" s="13"/>
      <c r="B274" s="10"/>
      <c r="E274" s="11"/>
      <c r="H274" s="11"/>
      <c r="K274" s="12"/>
    </row>
    <row r="275" spans="1:11" s="9" customFormat="1" x14ac:dyDescent="0.2">
      <c r="A275" s="13"/>
      <c r="B275" s="10"/>
      <c r="E275" s="11"/>
      <c r="H275" s="11"/>
      <c r="K275" s="12"/>
    </row>
    <row r="276" spans="1:11" s="9" customFormat="1" x14ac:dyDescent="0.2">
      <c r="A276" s="13"/>
      <c r="B276" s="10"/>
      <c r="E276" s="11"/>
      <c r="H276" s="11"/>
      <c r="K276" s="12"/>
    </row>
    <row r="277" spans="1:11" s="9" customFormat="1" x14ac:dyDescent="0.2">
      <c r="A277" s="13"/>
      <c r="B277" s="10"/>
      <c r="E277" s="11"/>
      <c r="H277" s="11"/>
      <c r="K277" s="12"/>
    </row>
    <row r="278" spans="1:11" s="9" customFormat="1" x14ac:dyDescent="0.2">
      <c r="A278" s="13"/>
      <c r="B278" s="10"/>
      <c r="E278" s="11"/>
      <c r="H278" s="11"/>
      <c r="K278" s="12"/>
    </row>
    <row r="279" spans="1:11" s="9" customFormat="1" x14ac:dyDescent="0.2">
      <c r="A279" s="13"/>
      <c r="B279" s="10"/>
      <c r="E279" s="11"/>
      <c r="H279" s="11"/>
      <c r="K279" s="12"/>
    </row>
    <row r="280" spans="1:11" s="9" customFormat="1" x14ac:dyDescent="0.2">
      <c r="A280" s="13"/>
      <c r="B280" s="10"/>
      <c r="E280" s="11"/>
      <c r="H280" s="11"/>
      <c r="K280" s="12"/>
    </row>
    <row r="281" spans="1:11" s="9" customFormat="1" x14ac:dyDescent="0.2">
      <c r="A281" s="13"/>
      <c r="B281" s="10"/>
      <c r="E281" s="11"/>
      <c r="H281" s="11"/>
      <c r="K281" s="12"/>
    </row>
    <row r="282" spans="1:11" s="9" customFormat="1" x14ac:dyDescent="0.2">
      <c r="A282" s="13"/>
      <c r="B282" s="10"/>
      <c r="E282" s="11"/>
      <c r="H282" s="11"/>
      <c r="K282" s="12"/>
    </row>
    <row r="283" spans="1:11" s="9" customFormat="1" x14ac:dyDescent="0.2">
      <c r="A283" s="13"/>
      <c r="B283" s="10"/>
      <c r="E283" s="11"/>
      <c r="H283" s="11"/>
      <c r="K283" s="12"/>
    </row>
    <row r="284" spans="1:11" s="9" customFormat="1" x14ac:dyDescent="0.2">
      <c r="A284" s="13"/>
      <c r="B284" s="10"/>
      <c r="E284" s="11"/>
      <c r="H284" s="11"/>
      <c r="K284" s="12"/>
    </row>
    <row r="285" spans="1:11" s="9" customFormat="1" x14ac:dyDescent="0.2">
      <c r="A285" s="13"/>
      <c r="B285" s="10"/>
      <c r="E285" s="11"/>
      <c r="H285" s="11"/>
      <c r="K285" s="12"/>
    </row>
    <row r="286" spans="1:11" s="9" customFormat="1" x14ac:dyDescent="0.2">
      <c r="A286" s="13"/>
      <c r="B286" s="10"/>
      <c r="E286" s="11"/>
      <c r="H286" s="11"/>
      <c r="K286" s="12"/>
    </row>
    <row r="287" spans="1:11" s="9" customFormat="1" x14ac:dyDescent="0.2">
      <c r="A287" s="13"/>
      <c r="B287" s="10"/>
      <c r="E287" s="11"/>
      <c r="H287" s="11"/>
      <c r="K287" s="12"/>
    </row>
    <row r="288" spans="1:11" s="9" customFormat="1" x14ac:dyDescent="0.2">
      <c r="A288" s="13"/>
      <c r="B288" s="10"/>
      <c r="E288" s="11"/>
      <c r="H288" s="11"/>
      <c r="K288" s="12"/>
    </row>
    <row r="289" spans="1:11" s="9" customFormat="1" x14ac:dyDescent="0.2">
      <c r="A289" s="13"/>
      <c r="B289" s="10"/>
      <c r="E289" s="11"/>
      <c r="H289" s="11"/>
      <c r="K289" s="12"/>
    </row>
    <row r="290" spans="1:11" s="9" customFormat="1" x14ac:dyDescent="0.2">
      <c r="A290" s="13"/>
      <c r="B290" s="10"/>
      <c r="E290" s="11"/>
      <c r="H290" s="11"/>
      <c r="K290" s="12"/>
    </row>
    <row r="291" spans="1:11" s="9" customFormat="1" x14ac:dyDescent="0.2">
      <c r="A291" s="13"/>
      <c r="B291" s="10"/>
      <c r="E291" s="11"/>
      <c r="H291" s="11"/>
      <c r="K291" s="12"/>
    </row>
    <row r="292" spans="1:11" s="9" customFormat="1" x14ac:dyDescent="0.2">
      <c r="A292" s="13"/>
      <c r="B292" s="10"/>
      <c r="E292" s="11"/>
      <c r="H292" s="11"/>
      <c r="K292" s="12"/>
    </row>
    <row r="293" spans="1:11" s="9" customFormat="1" x14ac:dyDescent="0.2">
      <c r="A293" s="13"/>
      <c r="B293" s="10"/>
      <c r="E293" s="11"/>
      <c r="H293" s="11"/>
      <c r="K293" s="12"/>
    </row>
    <row r="294" spans="1:11" s="9" customFormat="1" x14ac:dyDescent="0.2">
      <c r="A294" s="13"/>
      <c r="B294" s="10"/>
      <c r="E294" s="11"/>
      <c r="H294" s="11"/>
      <c r="K294" s="12"/>
    </row>
    <row r="295" spans="1:11" s="9" customFormat="1" x14ac:dyDescent="0.2">
      <c r="A295" s="13"/>
      <c r="B295" s="10"/>
      <c r="E295" s="11"/>
      <c r="H295" s="11"/>
      <c r="K295" s="12"/>
    </row>
    <row r="296" spans="1:11" s="9" customFormat="1" x14ac:dyDescent="0.2">
      <c r="A296" s="13"/>
      <c r="B296" s="10"/>
      <c r="E296" s="11"/>
      <c r="H296" s="11"/>
      <c r="K296" s="12"/>
    </row>
    <row r="297" spans="1:11" s="9" customFormat="1" x14ac:dyDescent="0.2">
      <c r="A297" s="13"/>
      <c r="B297" s="10"/>
      <c r="E297" s="11"/>
      <c r="H297" s="11"/>
      <c r="K297" s="12"/>
    </row>
    <row r="298" spans="1:11" s="9" customFormat="1" x14ac:dyDescent="0.2">
      <c r="A298" s="13"/>
      <c r="B298" s="10"/>
      <c r="E298" s="11"/>
      <c r="H298" s="11"/>
      <c r="K298" s="12"/>
    </row>
    <row r="299" spans="1:11" s="9" customFormat="1" x14ac:dyDescent="0.2">
      <c r="A299" s="13"/>
      <c r="B299" s="10"/>
      <c r="E299" s="11"/>
      <c r="H299" s="11"/>
      <c r="K299" s="12"/>
    </row>
    <row r="300" spans="1:11" s="9" customFormat="1" x14ac:dyDescent="0.2">
      <c r="A300" s="13"/>
      <c r="B300" s="10"/>
      <c r="E300" s="11"/>
      <c r="H300" s="11"/>
      <c r="K300" s="12"/>
    </row>
    <row r="301" spans="1:11" s="9" customFormat="1" x14ac:dyDescent="0.2">
      <c r="A301" s="13"/>
      <c r="B301" s="10"/>
      <c r="E301" s="11"/>
      <c r="H301" s="11"/>
      <c r="K301" s="12"/>
    </row>
    <row r="302" spans="1:11" s="9" customFormat="1" x14ac:dyDescent="0.2">
      <c r="A302" s="13"/>
      <c r="B302" s="10"/>
      <c r="E302" s="11"/>
      <c r="H302" s="11"/>
      <c r="K302" s="12"/>
    </row>
    <row r="303" spans="1:11" s="9" customFormat="1" x14ac:dyDescent="0.2">
      <c r="A303" s="13"/>
      <c r="B303" s="10"/>
      <c r="E303" s="11"/>
      <c r="H303" s="11"/>
      <c r="K303" s="12"/>
    </row>
    <row r="304" spans="1:11" s="9" customFormat="1" x14ac:dyDescent="0.2">
      <c r="A304" s="13"/>
      <c r="B304" s="10"/>
      <c r="E304" s="11"/>
      <c r="H304" s="11"/>
      <c r="K304" s="12"/>
    </row>
    <row r="305" spans="1:11" s="9" customFormat="1" x14ac:dyDescent="0.2">
      <c r="A305" s="13"/>
      <c r="B305" s="10"/>
      <c r="E305" s="11"/>
      <c r="H305" s="11"/>
      <c r="K305" s="12"/>
    </row>
    <row r="306" spans="1:11" s="9" customFormat="1" x14ac:dyDescent="0.2">
      <c r="A306" s="13"/>
      <c r="B306" s="10"/>
      <c r="E306" s="11"/>
      <c r="H306" s="11"/>
      <c r="K306" s="12"/>
    </row>
    <row r="307" spans="1:11" s="9" customFormat="1" x14ac:dyDescent="0.2">
      <c r="A307" s="13"/>
      <c r="B307" s="10"/>
      <c r="E307" s="11"/>
      <c r="H307" s="11"/>
      <c r="K307" s="12"/>
    </row>
    <row r="308" spans="1:11" s="9" customFormat="1" x14ac:dyDescent="0.2">
      <c r="A308" s="13"/>
      <c r="B308" s="10"/>
      <c r="E308" s="11"/>
      <c r="H308" s="11"/>
      <c r="K308" s="12"/>
    </row>
    <row r="309" spans="1:11" s="9" customFormat="1" x14ac:dyDescent="0.2">
      <c r="A309" s="13"/>
      <c r="B309" s="10"/>
      <c r="E309" s="11"/>
      <c r="H309" s="11"/>
      <c r="K309" s="12"/>
    </row>
    <row r="310" spans="1:11" s="9" customFormat="1" x14ac:dyDescent="0.2">
      <c r="A310" s="13"/>
      <c r="B310" s="10"/>
      <c r="E310" s="11"/>
      <c r="H310" s="11"/>
      <c r="K310" s="12"/>
    </row>
    <row r="311" spans="1:11" s="9" customFormat="1" x14ac:dyDescent="0.2">
      <c r="A311" s="13"/>
      <c r="B311" s="10"/>
      <c r="E311" s="11"/>
      <c r="H311" s="11"/>
      <c r="K311" s="12"/>
    </row>
    <row r="312" spans="1:11" s="9" customFormat="1" x14ac:dyDescent="0.2">
      <c r="A312" s="13"/>
      <c r="B312" s="10"/>
      <c r="E312" s="11"/>
      <c r="H312" s="11"/>
      <c r="K312" s="12"/>
    </row>
    <row r="313" spans="1:11" s="9" customFormat="1" x14ac:dyDescent="0.2">
      <c r="A313" s="13"/>
      <c r="B313" s="10"/>
      <c r="E313" s="11"/>
      <c r="H313" s="11"/>
      <c r="K313" s="12"/>
    </row>
    <row r="314" spans="1:11" s="9" customFormat="1" x14ac:dyDescent="0.2">
      <c r="A314" s="13"/>
      <c r="B314" s="10"/>
      <c r="E314" s="11"/>
      <c r="H314" s="11"/>
      <c r="K314" s="12"/>
    </row>
    <row r="315" spans="1:11" s="9" customFormat="1" x14ac:dyDescent="0.2">
      <c r="A315" s="13"/>
      <c r="B315" s="10"/>
      <c r="E315" s="11"/>
      <c r="H315" s="11"/>
      <c r="K315" s="12"/>
    </row>
    <row r="316" spans="1:11" s="9" customFormat="1" x14ac:dyDescent="0.2">
      <c r="A316" s="13"/>
      <c r="B316" s="10"/>
      <c r="E316" s="11"/>
      <c r="H316" s="11"/>
      <c r="K316" s="12"/>
    </row>
    <row r="317" spans="1:11" s="9" customFormat="1" x14ac:dyDescent="0.2">
      <c r="A317" s="13"/>
      <c r="B317" s="10"/>
      <c r="E317" s="11"/>
      <c r="H317" s="11"/>
      <c r="K317" s="12"/>
    </row>
    <row r="318" spans="1:11" s="9" customFormat="1" x14ac:dyDescent="0.2">
      <c r="A318" s="13"/>
      <c r="B318" s="10"/>
      <c r="E318" s="11"/>
      <c r="H318" s="11"/>
      <c r="K318" s="12"/>
    </row>
    <row r="319" spans="1:11" s="9" customFormat="1" x14ac:dyDescent="0.2">
      <c r="A319" s="13"/>
      <c r="B319" s="10"/>
      <c r="E319" s="11"/>
      <c r="H319" s="11"/>
      <c r="K319" s="12"/>
    </row>
    <row r="320" spans="1:11" s="9" customFormat="1" x14ac:dyDescent="0.2">
      <c r="A320" s="13"/>
      <c r="B320" s="10"/>
      <c r="E320" s="11"/>
      <c r="H320" s="11"/>
      <c r="K320" s="12"/>
    </row>
    <row r="321" spans="1:11" s="9" customFormat="1" x14ac:dyDescent="0.2">
      <c r="A321" s="13"/>
      <c r="B321" s="10"/>
      <c r="E321" s="11"/>
      <c r="H321" s="11"/>
      <c r="K321" s="12"/>
    </row>
    <row r="322" spans="1:11" s="9" customFormat="1" x14ac:dyDescent="0.2">
      <c r="A322" s="13"/>
      <c r="B322" s="10"/>
      <c r="E322" s="11"/>
      <c r="H322" s="11"/>
      <c r="K322" s="12"/>
    </row>
    <row r="323" spans="1:11" s="9" customFormat="1" x14ac:dyDescent="0.2">
      <c r="A323" s="13"/>
      <c r="B323" s="10"/>
      <c r="E323" s="11"/>
      <c r="H323" s="11"/>
      <c r="K323" s="12"/>
    </row>
    <row r="324" spans="1:11" s="9" customFormat="1" x14ac:dyDescent="0.2">
      <c r="A324" s="13"/>
      <c r="B324" s="10"/>
      <c r="E324" s="11"/>
      <c r="H324" s="11"/>
      <c r="K324" s="12"/>
    </row>
    <row r="325" spans="1:11" s="9" customFormat="1" x14ac:dyDescent="0.2">
      <c r="A325" s="13"/>
      <c r="B325" s="10"/>
      <c r="E325" s="11"/>
      <c r="H325" s="11"/>
      <c r="K325" s="12"/>
    </row>
    <row r="326" spans="1:11" s="9" customFormat="1" x14ac:dyDescent="0.2">
      <c r="A326" s="13"/>
      <c r="B326" s="10"/>
      <c r="E326" s="11"/>
      <c r="H326" s="11"/>
      <c r="K326" s="12"/>
    </row>
    <row r="327" spans="1:11" s="9" customFormat="1" x14ac:dyDescent="0.2">
      <c r="A327" s="13"/>
      <c r="B327" s="10"/>
      <c r="E327" s="11"/>
      <c r="H327" s="11"/>
      <c r="K327" s="12"/>
    </row>
    <row r="328" spans="1:11" s="9" customFormat="1" x14ac:dyDescent="0.2">
      <c r="A328" s="13"/>
      <c r="B328" s="10"/>
      <c r="E328" s="11"/>
      <c r="H328" s="11"/>
      <c r="K328" s="12"/>
    </row>
    <row r="329" spans="1:11" s="9" customFormat="1" x14ac:dyDescent="0.2">
      <c r="A329" s="13"/>
      <c r="B329" s="10"/>
      <c r="E329" s="11"/>
      <c r="H329" s="11"/>
      <c r="K329" s="12"/>
    </row>
    <row r="330" spans="1:11" s="9" customFormat="1" x14ac:dyDescent="0.2">
      <c r="A330" s="13"/>
      <c r="B330" s="10"/>
      <c r="E330" s="11"/>
      <c r="H330" s="11"/>
      <c r="K330" s="12"/>
    </row>
    <row r="331" spans="1:11" s="9" customFormat="1" x14ac:dyDescent="0.2">
      <c r="A331" s="13"/>
      <c r="B331" s="10"/>
      <c r="E331" s="11"/>
      <c r="H331" s="11"/>
      <c r="K331" s="12"/>
    </row>
    <row r="332" spans="1:11" s="9" customFormat="1" x14ac:dyDescent="0.2">
      <c r="A332" s="13"/>
      <c r="B332" s="10"/>
      <c r="E332" s="11"/>
      <c r="H332" s="11"/>
      <c r="K332" s="12"/>
    </row>
    <row r="333" spans="1:11" s="9" customFormat="1" x14ac:dyDescent="0.2">
      <c r="A333" s="13"/>
      <c r="B333" s="10"/>
      <c r="E333" s="11"/>
      <c r="H333" s="11"/>
      <c r="K333" s="12"/>
    </row>
    <row r="334" spans="1:11" s="9" customFormat="1" x14ac:dyDescent="0.2">
      <c r="A334" s="13"/>
      <c r="B334" s="10"/>
      <c r="E334" s="11"/>
      <c r="H334" s="11"/>
      <c r="K334" s="12"/>
    </row>
    <row r="335" spans="1:11" s="9" customFormat="1" x14ac:dyDescent="0.2">
      <c r="A335" s="13"/>
      <c r="B335" s="10"/>
      <c r="E335" s="11"/>
      <c r="H335" s="11"/>
      <c r="K335" s="12"/>
    </row>
    <row r="336" spans="1:11" s="9" customFormat="1" x14ac:dyDescent="0.2">
      <c r="A336" s="13"/>
      <c r="B336" s="10"/>
      <c r="E336" s="11"/>
      <c r="H336" s="11"/>
      <c r="K336" s="12"/>
    </row>
    <row r="337" spans="1:11" s="9" customFormat="1" x14ac:dyDescent="0.2">
      <c r="A337" s="13"/>
      <c r="B337" s="10"/>
      <c r="E337" s="11"/>
      <c r="H337" s="11"/>
      <c r="K337" s="12"/>
    </row>
    <row r="338" spans="1:11" s="9" customFormat="1" x14ac:dyDescent="0.2">
      <c r="A338" s="13"/>
      <c r="B338" s="10"/>
      <c r="E338" s="11"/>
      <c r="H338" s="11"/>
      <c r="K338" s="12"/>
    </row>
    <row r="339" spans="1:11" s="9" customFormat="1" x14ac:dyDescent="0.2">
      <c r="A339" s="13"/>
      <c r="B339" s="10"/>
      <c r="E339" s="11"/>
      <c r="H339" s="11"/>
      <c r="K339" s="12"/>
    </row>
    <row r="340" spans="1:11" s="9" customFormat="1" x14ac:dyDescent="0.2">
      <c r="A340" s="13"/>
      <c r="B340" s="10"/>
      <c r="E340" s="11"/>
      <c r="H340" s="11"/>
      <c r="K340" s="12"/>
    </row>
    <row r="341" spans="1:11" s="9" customFormat="1" x14ac:dyDescent="0.2">
      <c r="A341" s="13"/>
      <c r="B341" s="10"/>
      <c r="E341" s="11"/>
      <c r="H341" s="11"/>
      <c r="K341" s="12"/>
    </row>
    <row r="342" spans="1:11" s="9" customFormat="1" x14ac:dyDescent="0.2">
      <c r="A342" s="13"/>
      <c r="B342" s="10"/>
      <c r="E342" s="11"/>
      <c r="H342" s="11"/>
      <c r="K342" s="12"/>
    </row>
    <row r="343" spans="1:11" s="9" customFormat="1" x14ac:dyDescent="0.2">
      <c r="A343" s="13"/>
      <c r="B343" s="10"/>
      <c r="E343" s="11"/>
      <c r="H343" s="11"/>
      <c r="K343" s="12"/>
    </row>
    <row r="344" spans="1:11" s="9" customFormat="1" x14ac:dyDescent="0.2">
      <c r="A344" s="13"/>
      <c r="B344" s="10"/>
      <c r="E344" s="11"/>
      <c r="H344" s="11"/>
      <c r="K344" s="12"/>
    </row>
    <row r="345" spans="1:11" s="9" customFormat="1" x14ac:dyDescent="0.2">
      <c r="A345" s="13"/>
      <c r="B345" s="10"/>
      <c r="E345" s="11"/>
      <c r="H345" s="11"/>
      <c r="K345" s="12"/>
    </row>
    <row r="346" spans="1:11" s="9" customFormat="1" x14ac:dyDescent="0.2">
      <c r="A346" s="13"/>
      <c r="B346" s="10"/>
      <c r="E346" s="11"/>
      <c r="H346" s="11"/>
      <c r="K346" s="12"/>
    </row>
    <row r="347" spans="1:11" s="9" customFormat="1" x14ac:dyDescent="0.2">
      <c r="A347" s="13"/>
      <c r="B347" s="10"/>
      <c r="E347" s="11"/>
      <c r="H347" s="11"/>
      <c r="K347" s="12"/>
    </row>
    <row r="348" spans="1:11" s="9" customFormat="1" x14ac:dyDescent="0.2">
      <c r="A348" s="13"/>
      <c r="B348" s="10"/>
      <c r="E348" s="11"/>
      <c r="H348" s="11"/>
      <c r="K348" s="12"/>
    </row>
    <row r="349" spans="1:11" s="9" customFormat="1" x14ac:dyDescent="0.2">
      <c r="A349" s="13"/>
      <c r="B349" s="10"/>
      <c r="E349" s="11"/>
      <c r="H349" s="11"/>
      <c r="K349" s="12"/>
    </row>
    <row r="350" spans="1:11" s="9" customFormat="1" x14ac:dyDescent="0.2">
      <c r="A350" s="13"/>
      <c r="B350" s="10"/>
      <c r="E350" s="11"/>
      <c r="H350" s="11"/>
      <c r="K350" s="12"/>
    </row>
    <row r="351" spans="1:11" s="9" customFormat="1" x14ac:dyDescent="0.2">
      <c r="A351" s="13"/>
      <c r="B351" s="10"/>
      <c r="E351" s="11"/>
      <c r="H351" s="11"/>
      <c r="K351" s="12"/>
    </row>
    <row r="352" spans="1:11" s="9" customFormat="1" x14ac:dyDescent="0.2">
      <c r="A352" s="13"/>
      <c r="B352" s="10"/>
      <c r="E352" s="11"/>
      <c r="H352" s="11"/>
      <c r="K352" s="12"/>
    </row>
    <row r="353" spans="1:11" s="9" customFormat="1" x14ac:dyDescent="0.2">
      <c r="A353" s="13"/>
      <c r="B353" s="10"/>
      <c r="E353" s="11"/>
      <c r="H353" s="11"/>
      <c r="K353" s="12"/>
    </row>
    <row r="354" spans="1:11" s="9" customFormat="1" x14ac:dyDescent="0.2">
      <c r="A354" s="13"/>
      <c r="B354" s="10"/>
      <c r="E354" s="11"/>
      <c r="H354" s="11"/>
      <c r="K354" s="12"/>
    </row>
    <row r="355" spans="1:11" s="9" customFormat="1" x14ac:dyDescent="0.2">
      <c r="A355" s="13"/>
      <c r="B355" s="10"/>
      <c r="E355" s="11"/>
      <c r="H355" s="11"/>
      <c r="K355" s="12"/>
    </row>
    <row r="356" spans="1:11" s="9" customFormat="1" x14ac:dyDescent="0.2">
      <c r="A356" s="13"/>
      <c r="B356" s="10"/>
      <c r="E356" s="11"/>
      <c r="H356" s="11"/>
      <c r="K356" s="12"/>
    </row>
    <row r="357" spans="1:11" s="9" customFormat="1" x14ac:dyDescent="0.2">
      <c r="A357" s="13"/>
      <c r="B357" s="10"/>
      <c r="E357" s="11"/>
      <c r="H357" s="11"/>
      <c r="K357" s="12"/>
    </row>
    <row r="358" spans="1:11" s="9" customFormat="1" x14ac:dyDescent="0.2">
      <c r="A358" s="13"/>
      <c r="B358" s="10"/>
      <c r="E358" s="11"/>
      <c r="H358" s="11"/>
      <c r="K358" s="12"/>
    </row>
    <row r="359" spans="1:11" s="9" customFormat="1" x14ac:dyDescent="0.2">
      <c r="A359" s="13"/>
      <c r="B359" s="10"/>
      <c r="E359" s="11"/>
      <c r="H359" s="11"/>
      <c r="K359" s="12"/>
    </row>
    <row r="360" spans="1:11" s="9" customFormat="1" x14ac:dyDescent="0.2">
      <c r="A360" s="13"/>
      <c r="B360" s="10"/>
      <c r="E360" s="11"/>
      <c r="H360" s="11"/>
      <c r="K360" s="12"/>
    </row>
    <row r="361" spans="1:11" s="9" customFormat="1" x14ac:dyDescent="0.2">
      <c r="A361" s="13"/>
      <c r="B361" s="10"/>
      <c r="E361" s="11"/>
      <c r="H361" s="11"/>
      <c r="K361" s="12"/>
    </row>
    <row r="362" spans="1:11" s="9" customFormat="1" x14ac:dyDescent="0.2">
      <c r="A362" s="13"/>
      <c r="B362" s="10"/>
      <c r="E362" s="11"/>
      <c r="H362" s="11"/>
      <c r="K362" s="12"/>
    </row>
    <row r="363" spans="1:11" s="9" customFormat="1" x14ac:dyDescent="0.2">
      <c r="A363" s="13"/>
      <c r="B363" s="10"/>
      <c r="E363" s="11"/>
      <c r="H363" s="11"/>
      <c r="K363" s="12"/>
    </row>
    <row r="364" spans="1:11" s="9" customFormat="1" x14ac:dyDescent="0.2">
      <c r="A364" s="13"/>
      <c r="B364" s="10"/>
      <c r="E364" s="11"/>
      <c r="H364" s="11"/>
      <c r="K364" s="12"/>
    </row>
    <row r="365" spans="1:11" s="9" customFormat="1" x14ac:dyDescent="0.2">
      <c r="A365" s="13"/>
      <c r="B365" s="10"/>
      <c r="E365" s="11"/>
      <c r="H365" s="11"/>
      <c r="K365" s="12"/>
    </row>
    <row r="366" spans="1:11" s="9" customFormat="1" x14ac:dyDescent="0.2">
      <c r="A366" s="13"/>
      <c r="B366" s="10"/>
      <c r="E366" s="11"/>
      <c r="H366" s="11"/>
      <c r="K366" s="12"/>
    </row>
    <row r="367" spans="1:11" s="9" customFormat="1" x14ac:dyDescent="0.2">
      <c r="A367" s="13"/>
      <c r="B367" s="10"/>
      <c r="E367" s="11"/>
      <c r="H367" s="11"/>
      <c r="K367" s="12"/>
    </row>
    <row r="368" spans="1:11" s="9" customFormat="1" x14ac:dyDescent="0.2">
      <c r="A368" s="13"/>
      <c r="B368" s="10"/>
      <c r="E368" s="11"/>
      <c r="H368" s="11"/>
      <c r="K368" s="12"/>
    </row>
    <row r="369" spans="1:11" s="9" customFormat="1" x14ac:dyDescent="0.2">
      <c r="A369" s="13"/>
      <c r="B369" s="10"/>
      <c r="E369" s="11"/>
      <c r="H369" s="11"/>
      <c r="K369" s="12"/>
    </row>
    <row r="370" spans="1:11" s="9" customFormat="1" x14ac:dyDescent="0.2">
      <c r="A370" s="13"/>
      <c r="B370" s="10"/>
      <c r="E370" s="11"/>
      <c r="H370" s="11"/>
      <c r="K370" s="12"/>
    </row>
    <row r="371" spans="1:11" s="9" customFormat="1" x14ac:dyDescent="0.2">
      <c r="A371" s="13"/>
      <c r="B371" s="10"/>
      <c r="E371" s="11"/>
      <c r="H371" s="11"/>
      <c r="K371" s="12"/>
    </row>
    <row r="372" spans="1:11" s="9" customFormat="1" x14ac:dyDescent="0.2">
      <c r="A372" s="13"/>
      <c r="B372" s="10"/>
      <c r="E372" s="11"/>
      <c r="H372" s="11"/>
      <c r="K372" s="12"/>
    </row>
    <row r="373" spans="1:11" s="9" customFormat="1" x14ac:dyDescent="0.2">
      <c r="A373" s="13"/>
      <c r="B373" s="10"/>
      <c r="E373" s="11"/>
      <c r="H373" s="11"/>
      <c r="K373" s="12"/>
    </row>
    <row r="374" spans="1:11" s="9" customFormat="1" x14ac:dyDescent="0.2">
      <c r="A374" s="13"/>
      <c r="B374" s="10"/>
      <c r="E374" s="11"/>
      <c r="H374" s="11"/>
      <c r="K374" s="12"/>
    </row>
    <row r="375" spans="1:11" s="9" customFormat="1" x14ac:dyDescent="0.2">
      <c r="A375" s="13"/>
      <c r="B375" s="10"/>
      <c r="E375" s="11"/>
      <c r="H375" s="11"/>
      <c r="K375" s="12"/>
    </row>
    <row r="376" spans="1:11" s="9" customFormat="1" x14ac:dyDescent="0.2">
      <c r="A376" s="13"/>
      <c r="B376" s="10"/>
      <c r="E376" s="11"/>
      <c r="H376" s="11"/>
      <c r="K376" s="12"/>
    </row>
    <row r="377" spans="1:11" s="9" customFormat="1" x14ac:dyDescent="0.2">
      <c r="A377" s="13"/>
      <c r="B377" s="10"/>
      <c r="E377" s="11"/>
      <c r="H377" s="11"/>
      <c r="K377" s="12"/>
    </row>
    <row r="378" spans="1:11" s="9" customFormat="1" x14ac:dyDescent="0.2">
      <c r="A378" s="13"/>
      <c r="B378" s="10"/>
      <c r="E378" s="11"/>
      <c r="H378" s="11"/>
      <c r="K378" s="12"/>
    </row>
    <row r="379" spans="1:11" s="9" customFormat="1" x14ac:dyDescent="0.2">
      <c r="A379" s="13"/>
      <c r="B379" s="10"/>
      <c r="E379" s="11"/>
      <c r="H379" s="11"/>
      <c r="K379" s="12"/>
    </row>
    <row r="380" spans="1:11" s="9" customFormat="1" x14ac:dyDescent="0.2">
      <c r="A380" s="13"/>
      <c r="B380" s="10"/>
      <c r="E380" s="11"/>
      <c r="H380" s="11"/>
      <c r="K380" s="12"/>
    </row>
    <row r="381" spans="1:11" s="9" customFormat="1" x14ac:dyDescent="0.2">
      <c r="A381" s="13"/>
      <c r="B381" s="10"/>
      <c r="E381" s="11"/>
      <c r="H381" s="11"/>
      <c r="K381" s="12"/>
    </row>
    <row r="382" spans="1:11" s="9" customFormat="1" x14ac:dyDescent="0.2">
      <c r="A382" s="13"/>
      <c r="B382" s="10"/>
      <c r="E382" s="11"/>
      <c r="H382" s="11"/>
      <c r="K382" s="12"/>
    </row>
    <row r="383" spans="1:11" s="9" customFormat="1" x14ac:dyDescent="0.2">
      <c r="A383" s="13"/>
      <c r="B383" s="10"/>
      <c r="E383" s="11"/>
      <c r="H383" s="11"/>
      <c r="K383" s="12"/>
    </row>
    <row r="384" spans="1:11" s="9" customFormat="1" x14ac:dyDescent="0.2">
      <c r="A384" s="13"/>
      <c r="B384" s="10"/>
      <c r="E384" s="11"/>
      <c r="H384" s="11"/>
      <c r="K384" s="12"/>
    </row>
    <row r="385" spans="1:11" s="9" customFormat="1" x14ac:dyDescent="0.2">
      <c r="A385" s="13"/>
      <c r="B385" s="10"/>
      <c r="E385" s="11"/>
      <c r="H385" s="11"/>
      <c r="K385" s="12"/>
    </row>
    <row r="386" spans="1:11" s="9" customFormat="1" x14ac:dyDescent="0.2">
      <c r="A386" s="13"/>
      <c r="B386" s="10"/>
      <c r="E386" s="11"/>
      <c r="H386" s="11"/>
      <c r="K386" s="12"/>
    </row>
    <row r="387" spans="1:11" s="9" customFormat="1" x14ac:dyDescent="0.2">
      <c r="A387" s="13"/>
      <c r="B387" s="10"/>
      <c r="E387" s="11"/>
      <c r="H387" s="11"/>
      <c r="K387" s="12"/>
    </row>
    <row r="388" spans="1:11" s="9" customFormat="1" x14ac:dyDescent="0.2">
      <c r="A388" s="13"/>
      <c r="B388" s="10"/>
      <c r="E388" s="11"/>
      <c r="H388" s="11"/>
      <c r="K388" s="12"/>
    </row>
    <row r="389" spans="1:11" s="9" customFormat="1" x14ac:dyDescent="0.2">
      <c r="A389" s="13"/>
      <c r="B389" s="10"/>
      <c r="E389" s="11"/>
      <c r="H389" s="11"/>
      <c r="K389" s="12"/>
    </row>
    <row r="390" spans="1:11" s="9" customFormat="1" x14ac:dyDescent="0.2">
      <c r="A390" s="13"/>
      <c r="B390" s="10"/>
      <c r="E390" s="11"/>
      <c r="H390" s="11"/>
      <c r="K390" s="12"/>
    </row>
    <row r="391" spans="1:11" s="9" customFormat="1" x14ac:dyDescent="0.2">
      <c r="A391" s="13"/>
      <c r="B391" s="10"/>
      <c r="E391" s="11"/>
      <c r="H391" s="11"/>
      <c r="K391" s="12"/>
    </row>
    <row r="392" spans="1:11" s="9" customFormat="1" x14ac:dyDescent="0.2">
      <c r="A392" s="13"/>
      <c r="B392" s="10"/>
      <c r="E392" s="11"/>
      <c r="H392" s="11"/>
      <c r="K392" s="12"/>
    </row>
    <row r="393" spans="1:11" s="9" customFormat="1" x14ac:dyDescent="0.2">
      <c r="A393" s="13"/>
      <c r="B393" s="10"/>
      <c r="E393" s="11"/>
      <c r="H393" s="11"/>
      <c r="K393" s="12"/>
    </row>
    <row r="394" spans="1:11" s="9" customFormat="1" x14ac:dyDescent="0.2">
      <c r="A394" s="13"/>
      <c r="B394" s="10"/>
      <c r="E394" s="11"/>
      <c r="H394" s="11"/>
      <c r="K394" s="12"/>
    </row>
    <row r="395" spans="1:11" s="9" customFormat="1" x14ac:dyDescent="0.2">
      <c r="A395" s="13"/>
      <c r="B395" s="10"/>
      <c r="E395" s="11"/>
      <c r="H395" s="11"/>
      <c r="K395" s="12"/>
    </row>
    <row r="396" spans="1:11" s="9" customFormat="1" x14ac:dyDescent="0.2">
      <c r="A396" s="13"/>
      <c r="B396" s="10"/>
      <c r="E396" s="11"/>
      <c r="H396" s="11"/>
      <c r="K396" s="12"/>
    </row>
    <row r="397" spans="1:11" s="9" customFormat="1" x14ac:dyDescent="0.2">
      <c r="A397" s="13"/>
      <c r="B397" s="10"/>
      <c r="E397" s="11"/>
      <c r="H397" s="11"/>
      <c r="K397" s="12"/>
    </row>
    <row r="398" spans="1:11" s="9" customFormat="1" x14ac:dyDescent="0.2">
      <c r="A398" s="13"/>
      <c r="B398" s="10"/>
      <c r="E398" s="11"/>
      <c r="H398" s="11"/>
      <c r="K398" s="12"/>
    </row>
    <row r="399" spans="1:11" s="9" customFormat="1" x14ac:dyDescent="0.2">
      <c r="A399" s="13"/>
      <c r="B399" s="10"/>
      <c r="E399" s="11"/>
      <c r="H399" s="11"/>
      <c r="K399" s="12"/>
    </row>
    <row r="400" spans="1:11" s="9" customFormat="1" x14ac:dyDescent="0.2">
      <c r="A400" s="13"/>
      <c r="B400" s="10"/>
      <c r="E400" s="11"/>
      <c r="H400" s="11"/>
      <c r="K400" s="12"/>
    </row>
    <row r="401" spans="1:11" s="9" customFormat="1" x14ac:dyDescent="0.2">
      <c r="A401" s="13"/>
      <c r="B401" s="10"/>
      <c r="E401" s="11"/>
      <c r="H401" s="11"/>
      <c r="K401" s="12"/>
    </row>
    <row r="402" spans="1:11" s="9" customFormat="1" x14ac:dyDescent="0.2">
      <c r="A402" s="13"/>
      <c r="B402" s="10"/>
      <c r="E402" s="11"/>
      <c r="H402" s="11"/>
      <c r="K402" s="12"/>
    </row>
    <row r="403" spans="1:11" s="9" customFormat="1" x14ac:dyDescent="0.2">
      <c r="A403" s="13"/>
      <c r="B403" s="10"/>
      <c r="E403" s="11"/>
      <c r="H403" s="11"/>
      <c r="K403" s="12"/>
    </row>
    <row r="404" spans="1:11" s="9" customFormat="1" x14ac:dyDescent="0.2">
      <c r="A404" s="13"/>
      <c r="B404" s="10"/>
      <c r="E404" s="11"/>
      <c r="H404" s="11"/>
      <c r="K404" s="12"/>
    </row>
    <row r="405" spans="1:11" s="9" customFormat="1" x14ac:dyDescent="0.2">
      <c r="A405" s="13"/>
      <c r="B405" s="10"/>
      <c r="E405" s="11"/>
      <c r="H405" s="11"/>
      <c r="K405" s="12"/>
    </row>
    <row r="406" spans="1:11" s="9" customFormat="1" x14ac:dyDescent="0.2">
      <c r="A406" s="13"/>
      <c r="B406" s="10"/>
      <c r="E406" s="11"/>
      <c r="H406" s="11"/>
      <c r="K406" s="12"/>
    </row>
    <row r="407" spans="1:11" s="9" customFormat="1" x14ac:dyDescent="0.2">
      <c r="A407" s="13"/>
      <c r="B407" s="10"/>
      <c r="E407" s="11"/>
      <c r="H407" s="11"/>
      <c r="K407" s="12"/>
    </row>
    <row r="408" spans="1:11" s="9" customFormat="1" x14ac:dyDescent="0.2">
      <c r="A408" s="13"/>
      <c r="B408" s="10"/>
      <c r="E408" s="11"/>
      <c r="H408" s="11"/>
      <c r="K408" s="12"/>
    </row>
    <row r="409" spans="1:11" s="9" customFormat="1" x14ac:dyDescent="0.2">
      <c r="A409" s="13"/>
      <c r="B409" s="10"/>
      <c r="E409" s="11"/>
      <c r="H409" s="11"/>
      <c r="K409" s="12"/>
    </row>
    <row r="410" spans="1:11" s="9" customFormat="1" x14ac:dyDescent="0.2">
      <c r="A410" s="13"/>
      <c r="B410" s="10"/>
      <c r="E410" s="11"/>
      <c r="H410" s="11"/>
      <c r="K410" s="12"/>
    </row>
    <row r="411" spans="1:11" s="9" customFormat="1" x14ac:dyDescent="0.2">
      <c r="A411" s="13"/>
      <c r="B411" s="10"/>
      <c r="E411" s="11"/>
      <c r="H411" s="11"/>
      <c r="K411" s="12"/>
    </row>
    <row r="412" spans="1:11" s="9" customFormat="1" x14ac:dyDescent="0.2">
      <c r="A412" s="13"/>
      <c r="B412" s="10"/>
      <c r="E412" s="11"/>
      <c r="H412" s="11"/>
      <c r="K412" s="12"/>
    </row>
    <row r="413" spans="1:11" s="9" customFormat="1" x14ac:dyDescent="0.2">
      <c r="A413" s="13"/>
      <c r="B413" s="10"/>
      <c r="E413" s="11"/>
      <c r="H413" s="11"/>
      <c r="K413" s="12"/>
    </row>
    <row r="414" spans="1:11" s="9" customFormat="1" x14ac:dyDescent="0.2">
      <c r="A414" s="13"/>
      <c r="B414" s="10"/>
      <c r="E414" s="11"/>
      <c r="H414" s="11"/>
      <c r="K414" s="12"/>
    </row>
    <row r="415" spans="1:11" s="9" customFormat="1" x14ac:dyDescent="0.2">
      <c r="A415" s="13"/>
      <c r="B415" s="10"/>
      <c r="E415" s="11"/>
      <c r="H415" s="11"/>
      <c r="K415" s="12"/>
    </row>
    <row r="416" spans="1:11" s="9" customFormat="1" x14ac:dyDescent="0.2">
      <c r="A416" s="13"/>
      <c r="B416" s="10"/>
      <c r="E416" s="11"/>
      <c r="H416" s="11"/>
      <c r="K416" s="12"/>
    </row>
    <row r="417" spans="1:11" s="9" customFormat="1" x14ac:dyDescent="0.2">
      <c r="A417" s="13"/>
      <c r="B417" s="10"/>
      <c r="E417" s="11"/>
      <c r="H417" s="11"/>
      <c r="K417" s="12"/>
    </row>
    <row r="418" spans="1:11" s="9" customFormat="1" x14ac:dyDescent="0.2">
      <c r="A418" s="13"/>
      <c r="B418" s="10"/>
      <c r="E418" s="11"/>
      <c r="H418" s="11"/>
      <c r="K418" s="12"/>
    </row>
    <row r="419" spans="1:11" s="9" customFormat="1" x14ac:dyDescent="0.2">
      <c r="A419" s="13"/>
      <c r="B419" s="10"/>
      <c r="E419" s="11"/>
      <c r="H419" s="11"/>
      <c r="K419" s="12"/>
    </row>
    <row r="420" spans="1:11" s="9" customFormat="1" x14ac:dyDescent="0.2">
      <c r="A420" s="13"/>
      <c r="B420" s="10"/>
      <c r="E420" s="11"/>
      <c r="H420" s="11"/>
      <c r="K420" s="12"/>
    </row>
    <row r="421" spans="1:11" s="9" customFormat="1" x14ac:dyDescent="0.2">
      <c r="A421" s="13"/>
      <c r="B421" s="10"/>
      <c r="E421" s="11"/>
      <c r="H421" s="11"/>
      <c r="K421" s="12"/>
    </row>
    <row r="422" spans="1:11" s="9" customFormat="1" x14ac:dyDescent="0.2">
      <c r="A422" s="13"/>
      <c r="B422" s="10"/>
      <c r="E422" s="11"/>
      <c r="H422" s="11"/>
      <c r="K422" s="12"/>
    </row>
    <row r="423" spans="1:11" s="9" customFormat="1" x14ac:dyDescent="0.2">
      <c r="A423" s="13"/>
      <c r="B423" s="10"/>
      <c r="E423" s="11"/>
      <c r="H423" s="11"/>
      <c r="K423" s="12"/>
    </row>
    <row r="424" spans="1:11" s="9" customFormat="1" x14ac:dyDescent="0.2">
      <c r="A424" s="13"/>
      <c r="B424" s="10"/>
      <c r="E424" s="11"/>
      <c r="H424" s="11"/>
      <c r="K424" s="12"/>
    </row>
    <row r="425" spans="1:11" s="9" customFormat="1" x14ac:dyDescent="0.2">
      <c r="A425" s="13"/>
      <c r="B425" s="10"/>
      <c r="E425" s="11"/>
      <c r="H425" s="11"/>
      <c r="K425" s="12"/>
    </row>
    <row r="426" spans="1:11" s="9" customFormat="1" x14ac:dyDescent="0.2">
      <c r="A426" s="13"/>
      <c r="B426" s="10"/>
      <c r="E426" s="11"/>
      <c r="H426" s="11"/>
      <c r="K426" s="12"/>
    </row>
    <row r="427" spans="1:11" s="9" customFormat="1" x14ac:dyDescent="0.2">
      <c r="A427" s="13"/>
      <c r="B427" s="10"/>
      <c r="E427" s="11"/>
      <c r="H427" s="11"/>
      <c r="K427" s="12"/>
    </row>
    <row r="428" spans="1:11" s="9" customFormat="1" x14ac:dyDescent="0.2">
      <c r="A428" s="13"/>
      <c r="B428" s="10"/>
      <c r="E428" s="11"/>
      <c r="H428" s="11"/>
      <c r="K428" s="12"/>
    </row>
    <row r="429" spans="1:11" s="9" customFormat="1" x14ac:dyDescent="0.2">
      <c r="A429" s="13"/>
      <c r="B429" s="10"/>
      <c r="E429" s="11"/>
      <c r="H429" s="11"/>
      <c r="K429" s="12"/>
    </row>
    <row r="430" spans="1:11" s="9" customFormat="1" x14ac:dyDescent="0.2">
      <c r="A430" s="13"/>
      <c r="B430" s="10"/>
      <c r="E430" s="11"/>
      <c r="H430" s="11"/>
      <c r="K430" s="12"/>
    </row>
    <row r="431" spans="1:11" s="9" customFormat="1" x14ac:dyDescent="0.2">
      <c r="A431" s="13"/>
      <c r="B431" s="10"/>
      <c r="E431" s="11"/>
      <c r="H431" s="11"/>
      <c r="K431" s="12"/>
    </row>
    <row r="432" spans="1:11" s="9" customFormat="1" x14ac:dyDescent="0.2">
      <c r="A432" s="13"/>
      <c r="B432" s="10"/>
      <c r="E432" s="11"/>
      <c r="H432" s="11"/>
      <c r="K432" s="12"/>
    </row>
    <row r="433" spans="1:11" s="9" customFormat="1" x14ac:dyDescent="0.2">
      <c r="A433" s="13"/>
      <c r="B433" s="10"/>
      <c r="E433" s="11"/>
      <c r="H433" s="11"/>
      <c r="K433" s="12"/>
    </row>
    <row r="434" spans="1:11" s="9" customFormat="1" x14ac:dyDescent="0.2">
      <c r="A434" s="13"/>
      <c r="B434" s="10"/>
      <c r="E434" s="11"/>
      <c r="H434" s="11"/>
      <c r="K434" s="12"/>
    </row>
    <row r="435" spans="1:11" s="9" customFormat="1" x14ac:dyDescent="0.2">
      <c r="A435" s="13"/>
      <c r="B435" s="10"/>
      <c r="E435" s="11"/>
      <c r="H435" s="11"/>
      <c r="K435" s="12"/>
    </row>
    <row r="436" spans="1:11" s="9" customFormat="1" x14ac:dyDescent="0.2">
      <c r="A436" s="13"/>
      <c r="B436" s="10"/>
      <c r="E436" s="11"/>
      <c r="H436" s="11"/>
      <c r="K436" s="12"/>
    </row>
    <row r="437" spans="1:11" s="9" customFormat="1" x14ac:dyDescent="0.2">
      <c r="A437" s="13"/>
      <c r="B437" s="10"/>
      <c r="E437" s="11"/>
      <c r="H437" s="11"/>
      <c r="K437" s="12"/>
    </row>
    <row r="438" spans="1:11" s="9" customFormat="1" x14ac:dyDescent="0.2">
      <c r="A438" s="13"/>
      <c r="B438" s="10"/>
      <c r="E438" s="11"/>
      <c r="H438" s="11"/>
      <c r="K438" s="12"/>
    </row>
    <row r="439" spans="1:11" s="9" customFormat="1" x14ac:dyDescent="0.2">
      <c r="A439" s="13"/>
      <c r="B439" s="10"/>
      <c r="E439" s="11"/>
      <c r="H439" s="11"/>
      <c r="K439" s="12"/>
    </row>
    <row r="440" spans="1:11" s="9" customFormat="1" x14ac:dyDescent="0.2">
      <c r="A440" s="13"/>
      <c r="B440" s="10"/>
      <c r="E440" s="11"/>
      <c r="H440" s="11"/>
      <c r="K440" s="12"/>
    </row>
    <row r="441" spans="1:11" s="9" customFormat="1" x14ac:dyDescent="0.2">
      <c r="A441" s="13"/>
      <c r="B441" s="10"/>
      <c r="E441" s="11"/>
      <c r="H441" s="11"/>
      <c r="K441" s="12"/>
    </row>
    <row r="442" spans="1:11" s="9" customFormat="1" x14ac:dyDescent="0.2">
      <c r="A442" s="13"/>
      <c r="B442" s="10"/>
      <c r="E442" s="11"/>
      <c r="H442" s="11"/>
      <c r="K442" s="12"/>
    </row>
    <row r="443" spans="1:11" s="9" customFormat="1" x14ac:dyDescent="0.2">
      <c r="A443" s="13"/>
      <c r="B443" s="10"/>
      <c r="E443" s="11"/>
      <c r="H443" s="11"/>
      <c r="K443" s="12"/>
    </row>
    <row r="444" spans="1:11" s="9" customFormat="1" x14ac:dyDescent="0.2">
      <c r="A444" s="13"/>
      <c r="B444" s="10"/>
      <c r="E444" s="11"/>
      <c r="H444" s="11"/>
      <c r="K444" s="12"/>
    </row>
    <row r="445" spans="1:11" s="9" customFormat="1" x14ac:dyDescent="0.2">
      <c r="A445" s="13"/>
      <c r="B445" s="10"/>
      <c r="E445" s="11"/>
      <c r="H445" s="11"/>
      <c r="K445" s="12"/>
    </row>
    <row r="446" spans="1:11" s="9" customFormat="1" x14ac:dyDescent="0.2">
      <c r="A446" s="13"/>
      <c r="B446" s="10"/>
      <c r="E446" s="11"/>
      <c r="H446" s="11"/>
      <c r="K446" s="12"/>
    </row>
    <row r="447" spans="1:11" s="9" customFormat="1" x14ac:dyDescent="0.2">
      <c r="A447" s="13"/>
      <c r="B447" s="10"/>
      <c r="E447" s="11"/>
      <c r="H447" s="11"/>
      <c r="K447" s="12"/>
    </row>
    <row r="448" spans="1:11" s="9" customFormat="1" x14ac:dyDescent="0.2">
      <c r="A448" s="13"/>
      <c r="B448" s="10"/>
      <c r="E448" s="11"/>
      <c r="H448" s="11"/>
      <c r="K448" s="12"/>
    </row>
    <row r="449" spans="1:11" s="9" customFormat="1" x14ac:dyDescent="0.2">
      <c r="A449" s="13"/>
      <c r="B449" s="10"/>
      <c r="E449" s="11"/>
      <c r="H449" s="11"/>
      <c r="K449" s="12"/>
    </row>
    <row r="450" spans="1:11" s="9" customFormat="1" x14ac:dyDescent="0.2">
      <c r="A450" s="13"/>
      <c r="B450" s="10"/>
      <c r="E450" s="11"/>
      <c r="H450" s="11"/>
      <c r="K450" s="12"/>
    </row>
    <row r="451" spans="1:11" s="9" customFormat="1" x14ac:dyDescent="0.2">
      <c r="A451" s="13"/>
      <c r="B451" s="10"/>
      <c r="E451" s="11"/>
      <c r="H451" s="11"/>
      <c r="K451" s="12"/>
    </row>
    <row r="452" spans="1:11" s="9" customFormat="1" x14ac:dyDescent="0.2">
      <c r="A452" s="13"/>
      <c r="B452" s="10"/>
      <c r="E452" s="11"/>
      <c r="H452" s="11"/>
      <c r="K452" s="12"/>
    </row>
    <row r="453" spans="1:11" s="9" customFormat="1" x14ac:dyDescent="0.2">
      <c r="A453" s="13"/>
      <c r="B453" s="10"/>
      <c r="E453" s="11"/>
      <c r="H453" s="11"/>
      <c r="K453" s="12"/>
    </row>
    <row r="454" spans="1:11" s="9" customFormat="1" x14ac:dyDescent="0.2">
      <c r="A454" s="13"/>
      <c r="B454" s="10"/>
      <c r="E454" s="11"/>
      <c r="H454" s="11"/>
      <c r="K454" s="12"/>
    </row>
    <row r="455" spans="1:11" s="9" customFormat="1" x14ac:dyDescent="0.2">
      <c r="A455" s="13"/>
      <c r="B455" s="10"/>
      <c r="E455" s="11"/>
      <c r="H455" s="11"/>
      <c r="K455" s="12"/>
    </row>
    <row r="456" spans="1:11" s="9" customFormat="1" x14ac:dyDescent="0.2">
      <c r="A456" s="13"/>
      <c r="B456" s="10"/>
      <c r="E456" s="11"/>
      <c r="H456" s="11"/>
      <c r="K456" s="12"/>
    </row>
    <row r="457" spans="1:11" s="9" customFormat="1" x14ac:dyDescent="0.2">
      <c r="A457" s="13"/>
      <c r="B457" s="10"/>
      <c r="E457" s="11"/>
      <c r="H457" s="11"/>
      <c r="K457" s="12"/>
    </row>
    <row r="458" spans="1:11" s="9" customFormat="1" x14ac:dyDescent="0.2">
      <c r="A458" s="13"/>
      <c r="B458" s="10"/>
      <c r="E458" s="11"/>
      <c r="H458" s="11"/>
      <c r="K458" s="12"/>
    </row>
    <row r="459" spans="1:11" s="9" customFormat="1" x14ac:dyDescent="0.2">
      <c r="A459" s="13"/>
      <c r="B459" s="10"/>
      <c r="E459" s="11"/>
      <c r="H459" s="11"/>
      <c r="K459" s="12"/>
    </row>
    <row r="460" spans="1:11" s="9" customFormat="1" x14ac:dyDescent="0.2">
      <c r="A460" s="13"/>
      <c r="B460" s="10"/>
      <c r="E460" s="11"/>
      <c r="H460" s="11"/>
      <c r="K460" s="12"/>
    </row>
    <row r="461" spans="1:11" s="9" customFormat="1" x14ac:dyDescent="0.2">
      <c r="A461" s="13"/>
      <c r="B461" s="10"/>
      <c r="E461" s="11"/>
      <c r="H461" s="11"/>
      <c r="K461" s="12"/>
    </row>
    <row r="462" spans="1:11" s="9" customFormat="1" x14ac:dyDescent="0.2">
      <c r="A462" s="13"/>
      <c r="B462" s="10"/>
      <c r="E462" s="11"/>
      <c r="H462" s="11"/>
      <c r="K462" s="12"/>
    </row>
    <row r="463" spans="1:11" s="9" customFormat="1" x14ac:dyDescent="0.2">
      <c r="A463" s="13"/>
      <c r="B463" s="10"/>
      <c r="E463" s="11"/>
      <c r="H463" s="11"/>
      <c r="K463" s="12"/>
    </row>
    <row r="464" spans="1:11" s="9" customFormat="1" x14ac:dyDescent="0.2">
      <c r="A464" s="13"/>
      <c r="B464" s="10"/>
      <c r="E464" s="11"/>
      <c r="H464" s="11"/>
      <c r="K464" s="12"/>
    </row>
    <row r="465" spans="1:11" s="9" customFormat="1" x14ac:dyDescent="0.2">
      <c r="A465" s="13"/>
      <c r="B465" s="10"/>
      <c r="E465" s="11"/>
      <c r="H465" s="11"/>
      <c r="K465" s="12"/>
    </row>
    <row r="466" spans="1:11" s="9" customFormat="1" x14ac:dyDescent="0.2">
      <c r="A466" s="13"/>
      <c r="B466" s="10"/>
      <c r="E466" s="11"/>
      <c r="H466" s="11"/>
      <c r="K466" s="12"/>
    </row>
    <row r="467" spans="1:11" s="9" customFormat="1" x14ac:dyDescent="0.2">
      <c r="A467" s="13"/>
      <c r="B467" s="10"/>
      <c r="E467" s="11"/>
      <c r="H467" s="11"/>
      <c r="K467" s="12"/>
    </row>
    <row r="468" spans="1:11" s="9" customFormat="1" x14ac:dyDescent="0.2">
      <c r="A468" s="13"/>
      <c r="B468" s="10"/>
      <c r="E468" s="11"/>
      <c r="H468" s="11"/>
      <c r="K468" s="12"/>
    </row>
    <row r="469" spans="1:11" s="9" customFormat="1" x14ac:dyDescent="0.2">
      <c r="A469" s="13"/>
      <c r="B469" s="10"/>
      <c r="E469" s="11"/>
      <c r="H469" s="11"/>
      <c r="K469" s="12"/>
    </row>
    <row r="470" spans="1:11" s="9" customFormat="1" x14ac:dyDescent="0.2">
      <c r="A470" s="13"/>
      <c r="B470" s="10"/>
      <c r="E470" s="11"/>
      <c r="H470" s="11"/>
      <c r="K470" s="12"/>
    </row>
    <row r="471" spans="1:11" s="9" customFormat="1" x14ac:dyDescent="0.2">
      <c r="A471" s="13"/>
      <c r="B471" s="10"/>
      <c r="E471" s="11"/>
      <c r="H471" s="11"/>
      <c r="K471" s="12"/>
    </row>
    <row r="472" spans="1:11" s="9" customFormat="1" x14ac:dyDescent="0.2">
      <c r="A472" s="13"/>
      <c r="B472" s="10"/>
      <c r="E472" s="11"/>
      <c r="H472" s="11"/>
      <c r="K472" s="12"/>
    </row>
    <row r="473" spans="1:11" s="9" customFormat="1" x14ac:dyDescent="0.2">
      <c r="A473" s="13"/>
      <c r="B473" s="10"/>
      <c r="E473" s="11"/>
      <c r="H473" s="11"/>
      <c r="K473" s="12"/>
    </row>
    <row r="474" spans="1:11" s="9" customFormat="1" x14ac:dyDescent="0.2">
      <c r="A474" s="13"/>
      <c r="B474" s="10"/>
      <c r="E474" s="11"/>
      <c r="H474" s="11"/>
      <c r="K474" s="12"/>
    </row>
    <row r="475" spans="1:11" s="9" customFormat="1" x14ac:dyDescent="0.2">
      <c r="A475" s="13"/>
      <c r="B475" s="10"/>
      <c r="E475" s="11"/>
      <c r="H475" s="11"/>
      <c r="K475" s="12"/>
    </row>
    <row r="476" spans="1:11" s="9" customFormat="1" x14ac:dyDescent="0.2">
      <c r="A476" s="13"/>
      <c r="B476" s="10"/>
      <c r="E476" s="11"/>
      <c r="H476" s="11"/>
      <c r="K476" s="12"/>
    </row>
    <row r="477" spans="1:11" s="9" customFormat="1" x14ac:dyDescent="0.2">
      <c r="A477" s="13"/>
      <c r="B477" s="10"/>
      <c r="E477" s="11"/>
      <c r="H477" s="11"/>
      <c r="K477" s="12"/>
    </row>
    <row r="478" spans="1:11" s="9" customFormat="1" x14ac:dyDescent="0.2">
      <c r="A478" s="13"/>
      <c r="B478" s="10"/>
      <c r="E478" s="11"/>
      <c r="H478" s="11"/>
      <c r="K478" s="12"/>
    </row>
    <row r="479" spans="1:11" s="9" customFormat="1" x14ac:dyDescent="0.2">
      <c r="A479" s="13"/>
      <c r="B479" s="10"/>
      <c r="E479" s="11"/>
      <c r="H479" s="11"/>
      <c r="K479" s="12"/>
    </row>
    <row r="480" spans="1:11" s="9" customFormat="1" x14ac:dyDescent="0.2">
      <c r="A480" s="13"/>
      <c r="B480" s="10"/>
      <c r="E480" s="11"/>
      <c r="H480" s="11"/>
      <c r="K480" s="12"/>
    </row>
    <row r="481" spans="1:11" s="9" customFormat="1" x14ac:dyDescent="0.2">
      <c r="A481" s="13"/>
      <c r="B481" s="10"/>
      <c r="E481" s="11"/>
      <c r="H481" s="11"/>
      <c r="K481" s="12"/>
    </row>
    <row r="482" spans="1:11" s="9" customFormat="1" x14ac:dyDescent="0.2">
      <c r="A482" s="13"/>
      <c r="B482" s="10"/>
      <c r="E482" s="11"/>
      <c r="H482" s="11"/>
      <c r="K482" s="12"/>
    </row>
    <row r="483" spans="1:11" s="9" customFormat="1" x14ac:dyDescent="0.2">
      <c r="A483" s="13"/>
      <c r="B483" s="10"/>
      <c r="E483" s="11"/>
      <c r="H483" s="11"/>
      <c r="K483" s="12"/>
    </row>
    <row r="484" spans="1:11" s="9" customFormat="1" x14ac:dyDescent="0.2">
      <c r="A484" s="13"/>
      <c r="B484" s="10"/>
      <c r="E484" s="11"/>
      <c r="H484" s="11"/>
      <c r="K484" s="12"/>
    </row>
    <row r="485" spans="1:11" s="9" customFormat="1" x14ac:dyDescent="0.2">
      <c r="A485" s="13"/>
      <c r="B485" s="10"/>
      <c r="E485" s="11"/>
      <c r="H485" s="11"/>
      <c r="K485" s="12"/>
    </row>
    <row r="486" spans="1:11" s="9" customFormat="1" x14ac:dyDescent="0.2">
      <c r="A486" s="13"/>
      <c r="B486" s="10"/>
      <c r="E486" s="11"/>
      <c r="H486" s="11"/>
      <c r="K486" s="12"/>
    </row>
    <row r="487" spans="1:11" s="9" customFormat="1" x14ac:dyDescent="0.2">
      <c r="A487" s="13"/>
      <c r="B487" s="10"/>
      <c r="E487" s="11"/>
      <c r="H487" s="11"/>
      <c r="K487" s="12"/>
    </row>
    <row r="488" spans="1:11" s="9" customFormat="1" x14ac:dyDescent="0.2">
      <c r="A488" s="13"/>
      <c r="B488" s="10"/>
      <c r="E488" s="11"/>
      <c r="H488" s="11"/>
      <c r="K488" s="12"/>
    </row>
    <row r="489" spans="1:11" s="9" customFormat="1" x14ac:dyDescent="0.2">
      <c r="A489" s="13"/>
      <c r="B489" s="10"/>
      <c r="E489" s="11"/>
      <c r="H489" s="11"/>
      <c r="K489" s="12"/>
    </row>
    <row r="490" spans="1:11" s="9" customFormat="1" x14ac:dyDescent="0.2">
      <c r="A490" s="13"/>
      <c r="B490" s="10"/>
      <c r="E490" s="11"/>
      <c r="H490" s="11"/>
      <c r="K490" s="12"/>
    </row>
    <row r="491" spans="1:11" s="9" customFormat="1" x14ac:dyDescent="0.2">
      <c r="A491" s="13"/>
      <c r="B491" s="10"/>
      <c r="E491" s="11"/>
      <c r="H491" s="11"/>
      <c r="K491" s="12"/>
    </row>
    <row r="492" spans="1:11" s="9" customFormat="1" x14ac:dyDescent="0.2">
      <c r="A492" s="13"/>
      <c r="B492" s="10"/>
      <c r="E492" s="11"/>
      <c r="H492" s="11"/>
      <c r="K492" s="12"/>
    </row>
    <row r="493" spans="1:11" s="9" customFormat="1" x14ac:dyDescent="0.2">
      <c r="A493" s="13"/>
      <c r="B493" s="10"/>
      <c r="E493" s="11"/>
      <c r="H493" s="11"/>
      <c r="K493" s="12"/>
    </row>
    <row r="494" spans="1:11" s="9" customFormat="1" x14ac:dyDescent="0.2">
      <c r="A494" s="13"/>
      <c r="B494" s="10"/>
      <c r="E494" s="11"/>
      <c r="H494" s="11"/>
      <c r="K494" s="12"/>
    </row>
    <row r="495" spans="1:11" s="9" customFormat="1" x14ac:dyDescent="0.2">
      <c r="A495" s="13"/>
      <c r="B495" s="10"/>
      <c r="E495" s="11"/>
      <c r="H495" s="11"/>
      <c r="K495" s="12"/>
    </row>
    <row r="496" spans="1:11" s="9" customFormat="1" x14ac:dyDescent="0.2">
      <c r="A496" s="13"/>
      <c r="B496" s="10"/>
      <c r="E496" s="11"/>
      <c r="H496" s="11"/>
      <c r="K496" s="12"/>
    </row>
    <row r="497" spans="1:11" s="9" customFormat="1" x14ac:dyDescent="0.2">
      <c r="A497" s="13"/>
      <c r="B497" s="10"/>
      <c r="E497" s="11"/>
      <c r="H497" s="11"/>
      <c r="K497" s="12"/>
    </row>
    <row r="498" spans="1:11" s="9" customFormat="1" x14ac:dyDescent="0.2">
      <c r="A498" s="13"/>
      <c r="B498" s="10"/>
      <c r="E498" s="11"/>
      <c r="H498" s="11"/>
      <c r="K498" s="12"/>
    </row>
    <row r="499" spans="1:11" s="9" customFormat="1" x14ac:dyDescent="0.2">
      <c r="A499" s="13"/>
      <c r="B499" s="10"/>
      <c r="E499" s="11"/>
      <c r="H499" s="11"/>
      <c r="K499" s="12"/>
    </row>
    <row r="500" spans="1:11" s="9" customFormat="1" x14ac:dyDescent="0.2">
      <c r="A500" s="13"/>
      <c r="B500" s="10"/>
      <c r="E500" s="11"/>
      <c r="H500" s="11"/>
      <c r="K500" s="12"/>
    </row>
    <row r="501" spans="1:11" s="9" customFormat="1" x14ac:dyDescent="0.2">
      <c r="A501" s="13"/>
      <c r="B501" s="10"/>
      <c r="E501" s="11"/>
      <c r="H501" s="11"/>
      <c r="K501" s="12"/>
    </row>
    <row r="502" spans="1:11" s="9" customFormat="1" x14ac:dyDescent="0.2">
      <c r="A502" s="13"/>
      <c r="B502" s="10"/>
      <c r="E502" s="11"/>
      <c r="H502" s="11"/>
      <c r="K502" s="12"/>
    </row>
    <row r="503" spans="1:11" s="9" customFormat="1" x14ac:dyDescent="0.2">
      <c r="A503" s="13"/>
      <c r="B503" s="10"/>
      <c r="E503" s="11"/>
      <c r="H503" s="11"/>
      <c r="K503" s="12"/>
    </row>
    <row r="504" spans="1:11" s="9" customFormat="1" x14ac:dyDescent="0.2">
      <c r="A504" s="13"/>
      <c r="B504" s="10"/>
      <c r="E504" s="11"/>
      <c r="H504" s="11"/>
      <c r="K504" s="12"/>
    </row>
    <row r="505" spans="1:11" s="9" customFormat="1" x14ac:dyDescent="0.2">
      <c r="A505" s="13"/>
      <c r="B505" s="10"/>
      <c r="E505" s="11"/>
      <c r="H505" s="11"/>
      <c r="K505" s="12"/>
    </row>
    <row r="506" spans="1:11" s="9" customFormat="1" x14ac:dyDescent="0.2">
      <c r="A506" s="13"/>
      <c r="B506" s="10"/>
      <c r="E506" s="11"/>
      <c r="H506" s="11"/>
      <c r="K506" s="12"/>
    </row>
    <row r="507" spans="1:11" s="9" customFormat="1" x14ac:dyDescent="0.2">
      <c r="A507" s="13"/>
      <c r="B507" s="10"/>
      <c r="E507" s="11"/>
      <c r="H507" s="11"/>
      <c r="K507" s="12"/>
    </row>
    <row r="508" spans="1:11" s="9" customFormat="1" x14ac:dyDescent="0.2">
      <c r="A508" s="13"/>
      <c r="B508" s="10"/>
      <c r="E508" s="11"/>
      <c r="H508" s="11"/>
      <c r="K508" s="12"/>
    </row>
    <row r="509" spans="1:11" s="9" customFormat="1" x14ac:dyDescent="0.2">
      <c r="A509" s="13"/>
      <c r="B509" s="10"/>
      <c r="E509" s="11"/>
      <c r="H509" s="11"/>
      <c r="K509" s="12"/>
    </row>
    <row r="510" spans="1:11" s="9" customFormat="1" x14ac:dyDescent="0.2">
      <c r="A510" s="13"/>
      <c r="B510" s="10"/>
      <c r="E510" s="11"/>
      <c r="H510" s="11"/>
      <c r="K510" s="12"/>
    </row>
    <row r="511" spans="1:11" s="9" customFormat="1" x14ac:dyDescent="0.2">
      <c r="A511" s="13"/>
      <c r="B511" s="10"/>
      <c r="E511" s="11"/>
      <c r="H511" s="11"/>
      <c r="K511" s="12"/>
    </row>
    <row r="512" spans="1:11" s="9" customFormat="1" x14ac:dyDescent="0.2">
      <c r="A512" s="13"/>
      <c r="B512" s="10"/>
      <c r="E512" s="11"/>
      <c r="H512" s="11"/>
      <c r="K512" s="12"/>
    </row>
    <row r="513" spans="1:11" s="9" customFormat="1" x14ac:dyDescent="0.2">
      <c r="A513" s="13"/>
      <c r="B513" s="10"/>
      <c r="E513" s="11"/>
      <c r="H513" s="11"/>
      <c r="K513" s="12"/>
    </row>
    <row r="514" spans="1:11" s="9" customFormat="1" x14ac:dyDescent="0.2">
      <c r="A514" s="13"/>
      <c r="B514" s="10"/>
      <c r="E514" s="11"/>
      <c r="H514" s="11"/>
      <c r="K514" s="12"/>
    </row>
    <row r="515" spans="1:11" s="9" customFormat="1" x14ac:dyDescent="0.2">
      <c r="A515" s="13"/>
      <c r="B515" s="10"/>
      <c r="E515" s="11"/>
      <c r="H515" s="11"/>
      <c r="K515" s="12"/>
    </row>
    <row r="516" spans="1:11" s="9" customFormat="1" x14ac:dyDescent="0.2">
      <c r="A516" s="13"/>
      <c r="B516" s="10"/>
      <c r="E516" s="11"/>
      <c r="H516" s="11"/>
      <c r="K516" s="12"/>
    </row>
    <row r="517" spans="1:11" s="9" customFormat="1" x14ac:dyDescent="0.2">
      <c r="A517" s="13"/>
      <c r="B517" s="10"/>
      <c r="E517" s="11"/>
      <c r="H517" s="11"/>
      <c r="K517" s="12"/>
    </row>
    <row r="518" spans="1:11" s="9" customFormat="1" x14ac:dyDescent="0.2">
      <c r="A518" s="13"/>
      <c r="B518" s="10"/>
      <c r="E518" s="11"/>
      <c r="H518" s="11"/>
      <c r="K518" s="12"/>
    </row>
    <row r="519" spans="1:11" s="9" customFormat="1" x14ac:dyDescent="0.2">
      <c r="A519" s="13"/>
      <c r="B519" s="10"/>
      <c r="E519" s="11"/>
      <c r="H519" s="11"/>
      <c r="K519" s="12"/>
    </row>
    <row r="520" spans="1:11" s="9" customFormat="1" x14ac:dyDescent="0.2">
      <c r="A520" s="13"/>
      <c r="B520" s="10"/>
      <c r="E520" s="11"/>
      <c r="H520" s="11"/>
      <c r="K520" s="12"/>
    </row>
    <row r="521" spans="1:11" s="9" customFormat="1" x14ac:dyDescent="0.2">
      <c r="A521" s="13"/>
      <c r="B521" s="10"/>
      <c r="E521" s="11"/>
      <c r="H521" s="11"/>
      <c r="K521" s="12"/>
    </row>
    <row r="522" spans="1:11" s="9" customFormat="1" x14ac:dyDescent="0.2">
      <c r="A522" s="13"/>
      <c r="B522" s="10"/>
      <c r="E522" s="11"/>
      <c r="H522" s="11"/>
      <c r="K522" s="12"/>
    </row>
    <row r="523" spans="1:11" s="9" customFormat="1" x14ac:dyDescent="0.2">
      <c r="A523" s="13"/>
      <c r="B523" s="10"/>
      <c r="E523" s="11"/>
      <c r="H523" s="11"/>
      <c r="K523" s="12"/>
    </row>
  </sheetData>
  <autoFilter ref="A1:K523" xr:uid="{00000000-0001-0000-0000-000000000000}"/>
  <dataConsolidate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xr:uid="{00000000-0002-0000-0000-000000000000}">
          <x14:formula1>
            <xm:f>Dashboard!$A$6:$A$18</xm:f>
          </x14:formula1>
          <xm:sqref>C6</xm:sqref>
        </x14:dataValidation>
        <x14:dataValidation type="list" xr:uid="{46C75F25-0310-4694-8F9F-2F1FF3B9E340}">
          <x14:formula1>
            <xm:f>Dashboard!$M$6:$M$18</xm:f>
          </x14:formula1>
          <xm:sqref>G34:G35 G39:G41 G28 G25:G26 G56:G58 G63:G65 G68:G76 G44:G46 G15 G97:G109 F2:F113 G86 G111:G113 F102:G102 G82:G84 F118:F139 F146:G147 F150 F168:G170 F182:G182 F184:G184 F203 F207:G207</xm:sqref>
        </x14:dataValidation>
        <x14:dataValidation type="list" allowBlank="1" showInputMessage="1" showErrorMessage="1" xr:uid="{71010B3D-9695-45E0-823F-EE3B677918A3}">
          <x14:formula1>
            <xm:f>Dashboard!$P$6:$P$18</xm:f>
          </x14:formula1>
          <xm:sqref>G36:G38 G42:G43 G27 G29:G33 G16:G24 G47:G55 G59:G62 G66:G67 G77:G81 G2:G14 F114:F117 G85 G110 G87:G96 G69 G114:G123 G125:G139 G203</xm:sqref>
        </x14:dataValidation>
        <x14:dataValidation type="list" allowBlank="1" showInputMessage="1" showErrorMessage="1" xr:uid="{1D0EA9A6-34AC-44F6-9746-91903DD1D903}">
          <x14:formula1>
            <xm:f>Dashboard!$P$6:$P$19</xm:f>
          </x14:formula1>
          <xm:sqref>G140:G145 G148:G162 G164 G166:G167 G171:G181 G183 G124 G185:G195 G197:G202 G204:G206 F214 G208:G213 G215:G1048576</xm:sqref>
        </x14:dataValidation>
        <x14:dataValidation type="list" xr:uid="{9BF720BF-0442-40A4-8533-3A2F369338EE}">
          <x14:formula1>
            <xm:f>Dashboard!$M$6:$M$19</xm:f>
          </x14:formula1>
          <xm:sqref>F140:F145 F148:F149 G165 G163 F151:F167 F171:F181 F183 F185:F202 F204:F206 F208:F213 G214 F215:F1048576</xm:sqref>
        </x14:dataValidation>
        <x14:dataValidation type="list" xr:uid="{00000000-0002-0000-0000-000001000000}">
          <x14:formula1>
            <xm:f>Lists!$B$1:$B$3</xm:f>
          </x14:formula1>
          <xm:sqref>I2:I523</xm:sqref>
        </x14:dataValidation>
        <x14:dataValidation type="list" xr:uid="{612B096D-150F-4113-B6C3-C2174DF18653}">
          <x14:formula1>
            <xm:f>Dashboard!$J$6:$J$8</xm:f>
          </x14:formula1>
          <xm:sqref>J2:J1048576 K223</xm:sqref>
        </x14:dataValidation>
        <x14:dataValidation type="list" xr:uid="{58E06510-5077-44AC-98BE-F1B3AB88D7FB}">
          <x14:formula1>
            <xm:f>Dashboard!$A$6:$A$28</xm:f>
          </x14:formula1>
          <xm:sqref>D2:D1048576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25" x14ac:dyDescent="0.2"/>
  <sheetData>
    <row r="1" spans="1:2" x14ac:dyDescent="0.2">
      <c r="A1" t="s">
        <v>35</v>
      </c>
      <c r="B1" t="s">
        <v>48</v>
      </c>
    </row>
    <row r="2" spans="1:2" x14ac:dyDescent="0.2">
      <c r="A2" t="s">
        <v>25</v>
      </c>
      <c r="B2" t="s">
        <v>42</v>
      </c>
    </row>
    <row r="3" spans="1:2" x14ac:dyDescent="0.2">
      <c r="A3" t="s">
        <v>28</v>
      </c>
      <c r="B3" t="s">
        <v>13</v>
      </c>
    </row>
    <row r="4" spans="1:2" x14ac:dyDescent="0.2">
      <c r="A4" t="s">
        <v>29</v>
      </c>
    </row>
    <row r="5" spans="1:2" x14ac:dyDescent="0.2">
      <c r="A5" t="s">
        <v>18</v>
      </c>
    </row>
    <row r="6" spans="1:2" x14ac:dyDescent="0.2">
      <c r="A6" t="s">
        <v>26</v>
      </c>
    </row>
    <row r="7" spans="1:2" x14ac:dyDescent="0.2">
      <c r="A7" t="s">
        <v>33</v>
      </c>
    </row>
    <row r="8" spans="1:2" x14ac:dyDescent="0.2">
      <c r="A8" t="s">
        <v>23</v>
      </c>
    </row>
    <row r="9" spans="1:2" x14ac:dyDescent="0.2">
      <c r="A9" t="s">
        <v>44</v>
      </c>
    </row>
    <row r="10" spans="1:2" x14ac:dyDescent="0.2">
      <c r="A10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Q30"/>
  <sheetViews>
    <sheetView workbookViewId="0">
      <selection activeCell="B27" sqref="B27"/>
    </sheetView>
  </sheetViews>
  <sheetFormatPr defaultRowHeight="14.25" x14ac:dyDescent="0.2"/>
  <cols>
    <col min="1" max="1" width="30.5" bestFit="1" customWidth="1"/>
    <col min="2" max="2" width="10.5" bestFit="1" customWidth="1"/>
    <col min="4" max="4" width="0" hidden="1" customWidth="1"/>
    <col min="5" max="5" width="10.5" hidden="1" customWidth="1"/>
    <col min="6" max="6" width="0" hidden="1" customWidth="1"/>
    <col min="7" max="7" width="10.5" customWidth="1"/>
  </cols>
  <sheetData>
    <row r="1" spans="1:17" ht="18" x14ac:dyDescent="0.25">
      <c r="A1" s="1" t="s">
        <v>51</v>
      </c>
    </row>
    <row r="3" spans="1:17" x14ac:dyDescent="0.2">
      <c r="A3" t="s">
        <v>52</v>
      </c>
      <c r="B3">
        <f>COUNTA(HIS_Log!B2:B523)</f>
        <v>0</v>
      </c>
    </row>
    <row r="5" spans="1:17" x14ac:dyDescent="0.2">
      <c r="A5" s="4" t="s">
        <v>3</v>
      </c>
      <c r="B5" s="4" t="s">
        <v>53</v>
      </c>
      <c r="D5" t="s">
        <v>6</v>
      </c>
      <c r="E5" t="s">
        <v>53</v>
      </c>
      <c r="G5" s="3" t="s">
        <v>8</v>
      </c>
      <c r="H5" s="3" t="s">
        <v>54</v>
      </c>
      <c r="J5" s="5" t="s">
        <v>55</v>
      </c>
      <c r="K5" s="5" t="s">
        <v>54</v>
      </c>
      <c r="M5" s="4" t="s">
        <v>5</v>
      </c>
      <c r="N5" s="4" t="s">
        <v>54</v>
      </c>
      <c r="P5" s="3" t="s">
        <v>6</v>
      </c>
      <c r="Q5" s="3" t="s">
        <v>54</v>
      </c>
    </row>
    <row r="6" spans="1:17" x14ac:dyDescent="0.2">
      <c r="A6" t="s">
        <v>35</v>
      </c>
      <c r="B6">
        <f>COUNTIF(HIS_Log!D:D,A6)</f>
        <v>0</v>
      </c>
      <c r="D6" t="str">
        <f>IFERROR(INDEX(HIS_Log!$G$2:$G$523,MATCH(0,COUNTIF($D$5:D5,HIS_Log!$G$2:$G$523),0)),"")</f>
        <v/>
      </c>
      <c r="E6" t="str">
        <f>IF(D6="","",COUNTIF(HIS_Log!G:G,D6))</f>
        <v/>
      </c>
      <c r="G6" t="s">
        <v>48</v>
      </c>
      <c r="H6">
        <f>COUNTIF(HIS_Log!I:I,G6)</f>
        <v>0</v>
      </c>
      <c r="J6" t="s">
        <v>14</v>
      </c>
      <c r="K6">
        <f>COUNTIF(HIS_Log!J:J,J6)</f>
        <v>0</v>
      </c>
      <c r="M6" t="s">
        <v>12</v>
      </c>
      <c r="N6">
        <f>COUNTIF(HIS_Log!F:F,M6)</f>
        <v>0</v>
      </c>
      <c r="P6" t="s">
        <v>12</v>
      </c>
      <c r="Q6">
        <f>COUNTIF(HIS_Log!G:G,P6)</f>
        <v>0</v>
      </c>
    </row>
    <row r="7" spans="1:17" x14ac:dyDescent="0.2">
      <c r="A7" t="s">
        <v>25</v>
      </c>
      <c r="B7">
        <f>COUNTIF(HIS_Log!D:D,A7)</f>
        <v>0</v>
      </c>
      <c r="D7" t="str">
        <f>IFERROR(INDEX(HIS_Log!$G$2:$G$523,MATCH(0,COUNTIF($D$5:D6,HIS_Log!$G$2:$G$523),0)),"")</f>
        <v/>
      </c>
      <c r="E7" t="str">
        <f>IF(D7="","",COUNTIF(HIS_Log!G:G,D7))</f>
        <v/>
      </c>
      <c r="G7" t="s">
        <v>42</v>
      </c>
      <c r="H7">
        <f>COUNTIF(HIS_Log!I:I,G7)</f>
        <v>0</v>
      </c>
      <c r="J7" t="s">
        <v>24</v>
      </c>
      <c r="K7">
        <f>COUNTIF(HIS_Log!J:J,J7)</f>
        <v>0</v>
      </c>
      <c r="M7" t="s">
        <v>21</v>
      </c>
      <c r="N7">
        <f>COUNTIF(HIS_Log!F:F,M7)</f>
        <v>0</v>
      </c>
      <c r="P7" t="s">
        <v>21</v>
      </c>
      <c r="Q7">
        <f>COUNTIF(HIS_Log!G:G,P7)</f>
        <v>0</v>
      </c>
    </row>
    <row r="8" spans="1:17" x14ac:dyDescent="0.2">
      <c r="A8" t="s">
        <v>28</v>
      </c>
      <c r="B8">
        <f>COUNTIF(HIS_Log!D:D,A8)</f>
        <v>0</v>
      </c>
      <c r="D8" t="str">
        <f>IFERROR(INDEX(HIS_Log!$G$2:$G$523,MATCH(0,COUNTIF($D$5:D7,HIS_Log!$G$2:$G$523),0)),"")</f>
        <v/>
      </c>
      <c r="E8" t="str">
        <f>IF(D8="","",COUNTIF(HIS_Log!G:G,D8))</f>
        <v/>
      </c>
      <c r="G8" t="s">
        <v>13</v>
      </c>
      <c r="H8">
        <f>COUNTIF(HIS_Log!I:I,G8)</f>
        <v>0</v>
      </c>
      <c r="J8" t="s">
        <v>32</v>
      </c>
      <c r="K8">
        <f>COUNTIF(HIS_Log!J:J,J8)</f>
        <v>0</v>
      </c>
      <c r="M8" t="s">
        <v>17</v>
      </c>
      <c r="N8">
        <f>COUNTIF(HIS_Log!F:F,M8)</f>
        <v>0</v>
      </c>
      <c r="P8" t="s">
        <v>17</v>
      </c>
      <c r="Q8">
        <f>COUNTIF(HIS_Log!G:G,P8)</f>
        <v>0</v>
      </c>
    </row>
    <row r="9" spans="1:17" x14ac:dyDescent="0.2">
      <c r="A9" t="s">
        <v>29</v>
      </c>
      <c r="B9">
        <f>COUNTIF(HIS_Log!D:D,A9)</f>
        <v>0</v>
      </c>
      <c r="D9" t="str">
        <f>IFERROR(INDEX(HIS_Log!$G$2:$G$523,MATCH(0,COUNTIF($D$5:D8,HIS_Log!$G$2:$G$523),0)),"")</f>
        <v/>
      </c>
      <c r="E9" t="str">
        <f>IF(D9="","",COUNTIF(HIS_Log!G:G,D9))</f>
        <v/>
      </c>
      <c r="M9" t="s">
        <v>45</v>
      </c>
      <c r="N9">
        <f>COUNTIF(HIS_Log!F:F,M9)</f>
        <v>0</v>
      </c>
      <c r="P9" t="s">
        <v>45</v>
      </c>
      <c r="Q9">
        <f>COUNTIF(HIS_Log!G:G,P9)</f>
        <v>0</v>
      </c>
    </row>
    <row r="10" spans="1:17" x14ac:dyDescent="0.2">
      <c r="A10" t="s">
        <v>18</v>
      </c>
      <c r="B10">
        <f>COUNTIF(HIS_Log!D:D,A10)</f>
        <v>0</v>
      </c>
      <c r="D10" t="str">
        <f>IFERROR(INDEX(HIS_Log!$G$2:$G$523,MATCH(0,COUNTIF($D$5:D9,HIS_Log!$G$2:$G$523),0)),"")</f>
        <v/>
      </c>
      <c r="E10" t="str">
        <f>IF(D10="","",COUNTIF(HIS_Log!G:G,D10))</f>
        <v/>
      </c>
      <c r="M10" t="s">
        <v>37</v>
      </c>
      <c r="N10">
        <f>COUNTIF(HIS_Log!F:F,M10)</f>
        <v>0</v>
      </c>
      <c r="P10" t="s">
        <v>37</v>
      </c>
      <c r="Q10">
        <f>COUNTIF(HIS_Log!G:G,P10)</f>
        <v>0</v>
      </c>
    </row>
    <row r="11" spans="1:17" x14ac:dyDescent="0.2">
      <c r="A11" t="s">
        <v>26</v>
      </c>
      <c r="B11">
        <f>COUNTIF(HIS_Log!D:D,A11)</f>
        <v>0</v>
      </c>
      <c r="D11" t="str">
        <f>IFERROR(INDEX(HIS_Log!$G$2:$G$523,MATCH(0,COUNTIF($D$5:D10,HIS_Log!$G$2:$G$523),0)),"")</f>
        <v/>
      </c>
      <c r="E11" t="str">
        <f>IF(D11="","",COUNTIF(HIS_Log!G:G,D11))</f>
        <v/>
      </c>
      <c r="M11" t="s">
        <v>41</v>
      </c>
      <c r="N11">
        <f>COUNTIF(HIS_Log!F:F,M11)</f>
        <v>0</v>
      </c>
      <c r="P11" t="s">
        <v>41</v>
      </c>
      <c r="Q11">
        <f>COUNTIF(HIS_Log!G:G,P11)</f>
        <v>0</v>
      </c>
    </row>
    <row r="12" spans="1:17" x14ac:dyDescent="0.2">
      <c r="A12" t="s">
        <v>33</v>
      </c>
      <c r="B12">
        <f>COUNTIF(HIS_Log!D:D,A12)</f>
        <v>0</v>
      </c>
      <c r="D12" t="str">
        <f>IFERROR(INDEX(HIS_Log!$G$2:$G$523,MATCH(0,COUNTIF($D$5:D11,HIS_Log!$G$2:$G$523),0)),"")</f>
        <v/>
      </c>
      <c r="E12" t="str">
        <f>IF(D12="","",COUNTIF(HIS_Log!G:G,D12))</f>
        <v/>
      </c>
      <c r="M12" t="s">
        <v>19</v>
      </c>
      <c r="N12">
        <f>COUNTIF(HIS_Log!F:F,M12)</f>
        <v>0</v>
      </c>
      <c r="P12" t="s">
        <v>19</v>
      </c>
      <c r="Q12">
        <f>COUNTIF(HIS_Log!G:G,P12)</f>
        <v>0</v>
      </c>
    </row>
    <row r="13" spans="1:17" x14ac:dyDescent="0.2">
      <c r="A13" t="s">
        <v>23</v>
      </c>
      <c r="B13">
        <f>COUNTIF(HIS_Log!D:D,A13)</f>
        <v>0</v>
      </c>
      <c r="D13" t="str">
        <f>IFERROR(INDEX(HIS_Log!$G$2:$G$523,MATCH(0,COUNTIF($D$5:D12,HIS_Log!$G$2:$G$523),0)),"")</f>
        <v/>
      </c>
      <c r="E13" t="str">
        <f>IF(D13="","",COUNTIF(HIS_Log!G:G,D13))</f>
        <v/>
      </c>
      <c r="M13" t="s">
        <v>31</v>
      </c>
      <c r="N13">
        <f>COUNTIF(HIS_Log!F:F,M13)</f>
        <v>0</v>
      </c>
      <c r="P13" t="s">
        <v>31</v>
      </c>
      <c r="Q13">
        <f>COUNTIF(HIS_Log!G:G,P13)</f>
        <v>0</v>
      </c>
    </row>
    <row r="14" spans="1:17" x14ac:dyDescent="0.2">
      <c r="A14" t="s">
        <v>44</v>
      </c>
      <c r="B14">
        <f>COUNTIF(HIS_Log!D:D,A14)</f>
        <v>0</v>
      </c>
      <c r="D14" t="str">
        <f>IFERROR(INDEX(HIS_Log!$G$2:$G$523,MATCH(0,COUNTIF($D$5:D13,HIS_Log!$G$2:$G$523),0)),"")</f>
        <v/>
      </c>
      <c r="E14" t="str">
        <f>IF(D14="","",COUNTIF(HIS_Log!G:G,D14))</f>
        <v/>
      </c>
      <c r="M14" t="s">
        <v>40</v>
      </c>
      <c r="N14">
        <f>COUNTIF(HIS_Log!F:F,M14)</f>
        <v>0</v>
      </c>
      <c r="P14" t="s">
        <v>40</v>
      </c>
      <c r="Q14">
        <f>COUNTIF(HIS_Log!G:G,P14)</f>
        <v>0</v>
      </c>
    </row>
    <row r="15" spans="1:17" x14ac:dyDescent="0.2">
      <c r="A15" t="s">
        <v>15</v>
      </c>
      <c r="B15">
        <f>COUNTIF(HIS_Log!D:D,A15)</f>
        <v>0</v>
      </c>
      <c r="D15" t="str">
        <f>IFERROR(INDEX(HIS_Log!$G$2:$G$523,MATCH(0,COUNTIF($D$5:D14,HIS_Log!$G$2:$G$523),0)),"")</f>
        <v/>
      </c>
      <c r="E15" t="str">
        <f>IF(D15="","",COUNTIF(HIS_Log!G:G,D15))</f>
        <v/>
      </c>
      <c r="M15" t="s">
        <v>49</v>
      </c>
      <c r="N15">
        <f>COUNTIF(HIS_Log!F:F,M15)</f>
        <v>0</v>
      </c>
      <c r="P15" t="s">
        <v>49</v>
      </c>
      <c r="Q15">
        <f>COUNTIF(HIS_Log!G:G,P15)</f>
        <v>0</v>
      </c>
    </row>
    <row r="16" spans="1:17" x14ac:dyDescent="0.2">
      <c r="A16" t="s">
        <v>16</v>
      </c>
      <c r="B16">
        <f>COUNTIF(HIS_Log!D:D,A16)</f>
        <v>0</v>
      </c>
      <c r="D16" t="str">
        <f>IFERROR(INDEX(HIS_Log!$G$2:$G$523,MATCH(0,COUNTIF($D$5:D15,HIS_Log!$G$2:$G$523),0)),"")</f>
        <v/>
      </c>
      <c r="E16" t="str">
        <f>IF(D16="","",COUNTIF(HIS_Log!G:G,D16))</f>
        <v/>
      </c>
      <c r="M16" t="s">
        <v>56</v>
      </c>
      <c r="N16">
        <f>COUNTIF(HIS_Log!F:F,M16)</f>
        <v>0</v>
      </c>
      <c r="P16" t="s">
        <v>56</v>
      </c>
      <c r="Q16">
        <f>COUNTIF(HIS_Log!G:G,P16)</f>
        <v>0</v>
      </c>
    </row>
    <row r="17" spans="1:17" x14ac:dyDescent="0.2">
      <c r="A17" t="s">
        <v>11</v>
      </c>
      <c r="B17">
        <f>COUNTIF(HIS_Log!D:D,A17)</f>
        <v>0</v>
      </c>
      <c r="D17" t="str">
        <f>IFERROR(INDEX(HIS_Log!$G$2:$G$523,MATCH(0,COUNTIF($D$5:D16,HIS_Log!$G$2:$G$523),0)),"")</f>
        <v/>
      </c>
      <c r="E17" t="str">
        <f>IF(D17="","",COUNTIF(HIS_Log!G:G,D17))</f>
        <v/>
      </c>
      <c r="M17" t="s">
        <v>57</v>
      </c>
      <c r="N17">
        <f>COUNTIF(HIS_Log!F:F,M17)</f>
        <v>0</v>
      </c>
      <c r="P17" t="s">
        <v>57</v>
      </c>
      <c r="Q17">
        <f>COUNTIF(HIS_Log!G:G,P17)</f>
        <v>0</v>
      </c>
    </row>
    <row r="18" spans="1:17" x14ac:dyDescent="0.2">
      <c r="A18" t="s">
        <v>20</v>
      </c>
      <c r="B18">
        <f>COUNTIF(HIS_Log!D:D,A18)</f>
        <v>0</v>
      </c>
      <c r="D18" t="str">
        <f>IFERROR(INDEX(HIS_Log!$G$2:$G$523,MATCH(0,COUNTIF($D$5:D17,HIS_Log!$G$2:$G$523),0)),"")</f>
        <v/>
      </c>
      <c r="E18" t="str">
        <f>IF(D18="","",COUNTIF(HIS_Log!G:G,D18))</f>
        <v/>
      </c>
      <c r="M18" t="s">
        <v>58</v>
      </c>
      <c r="N18">
        <f>COUNTIF(HIS_Log!F:F,M18)</f>
        <v>0</v>
      </c>
      <c r="P18" t="s">
        <v>58</v>
      </c>
      <c r="Q18">
        <f>COUNTIF(HIS_Log!G:G,P18)</f>
        <v>0</v>
      </c>
    </row>
    <row r="19" spans="1:17" x14ac:dyDescent="0.2">
      <c r="A19" t="s">
        <v>22</v>
      </c>
      <c r="B19">
        <f>COUNTIF(HIS_Log!D:D,A19)</f>
        <v>0</v>
      </c>
      <c r="D19" t="str">
        <f>IFERROR(INDEX(HIS_Log!$G$2:$G$523,MATCH(0,COUNTIF($D$5:D18,HIS_Log!$G$2:$G$523),0)),"")</f>
        <v/>
      </c>
      <c r="E19" t="str">
        <f>IF(D19="","",COUNTIF(HIS_Log!G:G,D19))</f>
        <v/>
      </c>
      <c r="M19" t="s">
        <v>46</v>
      </c>
      <c r="N19">
        <f>COUNTIF(HIS_Log!F:F,M19)</f>
        <v>0</v>
      </c>
      <c r="P19" t="s">
        <v>46</v>
      </c>
      <c r="Q19">
        <f>COUNTIF(HIS_Log!G:G,P19)</f>
        <v>0</v>
      </c>
    </row>
    <row r="20" spans="1:17" x14ac:dyDescent="0.2">
      <c r="A20" t="s">
        <v>30</v>
      </c>
      <c r="B20">
        <f>COUNTIF(HIS_Log!D:D,A20)</f>
        <v>0</v>
      </c>
      <c r="D20" t="str">
        <f>IFERROR(INDEX(HIS_Log!$G$2:$G$523,MATCH(0,COUNTIF($D$5:D19,HIS_Log!$G$2:$G$523),0)),"")</f>
        <v/>
      </c>
      <c r="E20" t="str">
        <f>IF(D20="","",COUNTIF(HIS_Log!G:G,D20))</f>
        <v/>
      </c>
    </row>
    <row r="21" spans="1:17" x14ac:dyDescent="0.2">
      <c r="A21" t="s">
        <v>34</v>
      </c>
      <c r="B21">
        <f>COUNTIF(HIS_Log!D:D,A21)</f>
        <v>0</v>
      </c>
      <c r="D21" t="str">
        <f>IFERROR(INDEX(HIS_Log!$G$2:$G$523,MATCH(0,COUNTIF($D$5:D20,HIS_Log!$G$2:$G$523),0)),"")</f>
        <v/>
      </c>
      <c r="E21" t="str">
        <f>IF(D21="","",COUNTIF(HIS_Log!G:G,D21))</f>
        <v/>
      </c>
    </row>
    <row r="22" spans="1:17" x14ac:dyDescent="0.2">
      <c r="A22" t="s">
        <v>36</v>
      </c>
      <c r="B22">
        <f>COUNTIF(HIS_Log!D:D,A22)</f>
        <v>0</v>
      </c>
      <c r="D22" t="str">
        <f>IFERROR(INDEX(HIS_Log!$G$2:$G$523,MATCH(0,COUNTIF($D$5:D21,HIS_Log!$G$2:$G$523),0)),"")</f>
        <v/>
      </c>
      <c r="E22" t="str">
        <f>IF(D22="","",COUNTIF(HIS_Log!G:G,D22))</f>
        <v/>
      </c>
    </row>
    <row r="23" spans="1:17" x14ac:dyDescent="0.2">
      <c r="A23" t="s">
        <v>38</v>
      </c>
      <c r="B23">
        <f>COUNTIF(HIS_Log!D:D,A23)</f>
        <v>0</v>
      </c>
      <c r="D23" t="str">
        <f>IFERROR(INDEX(HIS_Log!$G$2:$G$523,MATCH(0,COUNTIF($D$5:D22,HIS_Log!$G$2:$G$523),0)),"")</f>
        <v/>
      </c>
      <c r="E23" t="str">
        <f>IF(D23="","",COUNTIF(HIS_Log!G:G,D23))</f>
        <v/>
      </c>
    </row>
    <row r="24" spans="1:17" x14ac:dyDescent="0.2">
      <c r="A24" t="s">
        <v>39</v>
      </c>
      <c r="B24">
        <f>COUNTIF(HIS_Log!D:D,A24)</f>
        <v>0</v>
      </c>
      <c r="D24" t="str">
        <f>IFERROR(INDEX(HIS_Log!$G$2:$G$523,MATCH(0,COUNTIF($D$5:D23,HIS_Log!$G$2:$G$523),0)),"")</f>
        <v/>
      </c>
      <c r="E24" t="str">
        <f>IF(D24="","",COUNTIF(HIS_Log!G:G,D24))</f>
        <v/>
      </c>
    </row>
    <row r="25" spans="1:17" x14ac:dyDescent="0.2">
      <c r="A25" t="s">
        <v>47</v>
      </c>
      <c r="B25">
        <f>COUNTIF(HIS_Log!D:D,A25)</f>
        <v>0</v>
      </c>
      <c r="D25" t="str">
        <f>IFERROR(INDEX(HIS_Log!$G$2:$G$523,MATCH(0,COUNTIF($D$5:D24,HIS_Log!$G$2:$G$523),0)),"")</f>
        <v/>
      </c>
      <c r="E25" t="str">
        <f>IF(D25="","",COUNTIF(HIS_Log!G:G,D25))</f>
        <v/>
      </c>
    </row>
    <row r="26" spans="1:17" x14ac:dyDescent="0.2">
      <c r="A26" t="s">
        <v>43</v>
      </c>
      <c r="B26">
        <f>COUNTIF(HIS_Log!D:D,A26)</f>
        <v>0</v>
      </c>
    </row>
    <row r="27" spans="1:17" x14ac:dyDescent="0.2">
      <c r="A27" t="s">
        <v>50</v>
      </c>
      <c r="B27">
        <f>COUNTIF(HIS_Log!D:D,A27)</f>
        <v>0</v>
      </c>
      <c r="D27" t="str">
        <f>IFERROR(INDEX(HIS_Log!$G$2:$G$523,MATCH(0,COUNTIF($D$5:D25,HIS_Log!$G$2:$G$523),0)),"")</f>
        <v/>
      </c>
      <c r="E27" t="str">
        <f>IF(D27="","",COUNTIF(HIS_Log!G:G,D27))</f>
        <v/>
      </c>
    </row>
    <row r="28" spans="1:17" x14ac:dyDescent="0.2">
      <c r="A28" t="s">
        <v>27</v>
      </c>
      <c r="B28">
        <f>COUNTIF(HIS_Log!D:D,A28)</f>
        <v>0</v>
      </c>
      <c r="D28" t="str">
        <f>IFERROR(INDEX(HIS_Log!$G$2:$G$523,MATCH(0,COUNTIF($D$5:D27,HIS_Log!$G$2:$G$523),0)),"")</f>
        <v/>
      </c>
      <c r="E28" t="str">
        <f>IF(D28="","",COUNTIF(HIS_Log!G:G,D28))</f>
        <v/>
      </c>
    </row>
    <row r="29" spans="1:17" x14ac:dyDescent="0.2">
      <c r="D29" t="str">
        <f>IFERROR(INDEX(HIS_Log!$G$2:$G$523,MATCH(0,COUNTIF($D$5:D28,HIS_Log!$G$2:$G$523),0)),"")</f>
        <v/>
      </c>
      <c r="E29" t="str">
        <f>IF(D29="","",COUNTIF(HIS_Log!G:G,D29))</f>
        <v/>
      </c>
    </row>
    <row r="30" spans="1:17" x14ac:dyDescent="0.2">
      <c r="D30" t="str">
        <f>IFERROR(INDEX(HIS_Log!$G$2:$G$523,MATCH(0,COUNTIF($D$5:D29,HIS_Log!$G$2:$G$523),0)),"")</f>
        <v/>
      </c>
      <c r="E30" t="str">
        <f>IF(D30="","",COUNTIF(HIS_Log!G:G,D30))</f>
        <v/>
      </c>
    </row>
  </sheetData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1a4f0e1-8117-427b-9366-b7b5320aa4f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D593733542DCE140A254FC801C09C3E3" ma:contentTypeVersion="17" ma:contentTypeDescription="สร้างเอกสารใหม่" ma:contentTypeScope="" ma:versionID="c27dd65ac473f6d3ef93807008e4f400">
  <xsd:schema xmlns:xsd="http://www.w3.org/2001/XMLSchema" xmlns:xs="http://www.w3.org/2001/XMLSchema" xmlns:p="http://schemas.microsoft.com/office/2006/metadata/properties" xmlns:ns3="11a4f0e1-8117-427b-9366-b7b5320aa4f9" xmlns:ns4="52289071-a2a2-44be-8b0d-65040d9274d1" targetNamespace="http://schemas.microsoft.com/office/2006/metadata/properties" ma:root="true" ma:fieldsID="e77736449dec271c703faaef208b8e33" ns3:_="" ns4:_="">
    <xsd:import namespace="11a4f0e1-8117-427b-9366-b7b5320aa4f9"/>
    <xsd:import namespace="52289071-a2a2-44be-8b0d-65040d9274d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AutoTag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a4f0e1-8117-427b-9366-b7b5320aa4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20" nillable="true" ma:displayName="Tags" ma:internalName="MediaServiceAutoTag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89071-a2a2-44be-8b0d-65040d9274d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การแชร์แฮชคำแนะนำ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B1694C-7AF1-4625-8DAA-A825A3C1A7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BB4090-F94B-419B-B9DF-BB38CD313F5D}">
  <ds:schemaRefs>
    <ds:schemaRef ds:uri="http://schemas.microsoft.com/office/2006/metadata/properties"/>
    <ds:schemaRef ds:uri="http://schemas.microsoft.com/office/infopath/2007/PartnerControls"/>
    <ds:schemaRef ds:uri="11a4f0e1-8117-427b-9366-b7b5320aa4f9"/>
  </ds:schemaRefs>
</ds:datastoreItem>
</file>

<file path=customXml/itemProps3.xml><?xml version="1.0" encoding="utf-8"?>
<ds:datastoreItem xmlns:ds="http://schemas.openxmlformats.org/officeDocument/2006/customXml" ds:itemID="{654687BE-373B-42D8-A287-8C91DA1EB6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a4f0e1-8117-427b-9366-b7b5320aa4f9"/>
    <ds:schemaRef ds:uri="52289071-a2a2-44be-8b0d-65040d9274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HIS_Log</vt:lpstr>
      <vt:lpstr>Lists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Pakawa Kaphondee</cp:lastModifiedBy>
  <cp:revision/>
  <dcterms:created xsi:type="dcterms:W3CDTF">2026-06-29T10:00:12Z</dcterms:created>
  <dcterms:modified xsi:type="dcterms:W3CDTF">2026-07-14T08:25:39Z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0x010100D593733542DCE140A254FC801C09C3E3</vt:lpwstr>
  </property>
</Properties>
</file>